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ors" sheetId="1" r:id="rId5"/>
    <sheet state="visible" name="Lines" sheetId="2" r:id="rId6"/>
    <sheet state="visible" name="Transformers" sheetId="3" r:id="rId7"/>
    <sheet state="visible" name="RPC" sheetId="4" r:id="rId8"/>
    <sheet state="visible" name="Loads (12221000)" sheetId="5" r:id="rId9"/>
    <sheet state="visible" name="Loads (01282300)" sheetId="6" r:id="rId10"/>
    <sheet state="visible" name="Loads (02081500)" sheetId="7" r:id="rId11"/>
    <sheet state="visible" name="Generation Offers (12221000)" sheetId="8" r:id="rId12"/>
    <sheet state="visible" name="Generation Offers (01282300)" sheetId="9" r:id="rId13"/>
    <sheet state="visible" name="Generation Offers (02081500)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0">
      <text>
        <t xml:space="preserve">idk </t>
      </text>
    </comment>
    <comment authorId="0" ref="M54">
      <text>
        <t xml:space="preserve">17.42 km assuming it's in Naga; 7.14 km assuming it's in Toledo
ok its the one in toledo raw
</t>
      </text>
    </comment>
    <comment authorId="0" ref="M55">
      <text>
        <t xml:space="preserve">17.42 km assuming it's in Naga; 7.14 km assuming it's in Toledo
ok its the one in toledo raw
</t>
      </text>
    </comment>
    <comment authorId="0" ref="M60">
      <text>
        <t xml:space="preserve">To verify bcoz it's now "Naga Substation" but formerly called "Colon Substation". Kinda confused kasi may other place pa kasi na Colon tlg. Will ask pa hehe
verified na</t>
      </text>
    </comment>
    <comment authorId="0" ref="M61">
      <text>
        <t xml:space="preserve">To verify bcoz it's now "Naga Substation" but formerly called "Colon Substation". Kinda confused kasi may other place pa kasi na Colon tlg. Will ask pa hehe
verified na</t>
      </text>
    </comment>
    <comment authorId="0" ref="M62">
      <text>
        <t xml:space="preserve">To verify bcoz it's now "Naga Substation" but formerly called "Colon Substation". Kinda confused kasi may other place pa kasi na Colon tlg. Will ask pa hehe
verified na</t>
      </text>
    </comment>
  </commentList>
</comments>
</file>

<file path=xl/sharedStrings.xml><?xml version="1.0" encoding="utf-8"?>
<sst xmlns="http://schemas.openxmlformats.org/spreadsheetml/2006/main" count="6300" uniqueCount="1195">
  <si>
    <t>Power Plant</t>
  </si>
  <si>
    <t>Capacity (MW)</t>
  </si>
  <si>
    <t>No. of Units</t>
  </si>
  <si>
    <t>Location</t>
  </si>
  <si>
    <t>IEMOP Name</t>
  </si>
  <si>
    <t>DOE Name</t>
  </si>
  <si>
    <t>Plant Type</t>
  </si>
  <si>
    <t>Registered</t>
  </si>
  <si>
    <t>Installed</t>
  </si>
  <si>
    <t>Dependable</t>
  </si>
  <si>
    <t>Municipality/Province</t>
  </si>
  <si>
    <t>City</t>
  </si>
  <si>
    <t>Region</t>
  </si>
  <si>
    <t>PANAY</t>
  </si>
  <si>
    <t>CASA_G01, CASA_G02</t>
  </si>
  <si>
    <t>CASA</t>
  </si>
  <si>
    <t>Biomass</t>
  </si>
  <si>
    <t>8, 7</t>
  </si>
  <si>
    <t>15</t>
  </si>
  <si>
    <t>8</t>
  </si>
  <si>
    <t>1</t>
  </si>
  <si>
    <t>Barangay Cadilang, Passi, Iloilo, Panay</t>
  </si>
  <si>
    <t>Iloilo City</t>
  </si>
  <si>
    <t>6</t>
  </si>
  <si>
    <t>PEDC_U01</t>
  </si>
  <si>
    <t>PEDC U1</t>
  </si>
  <si>
    <t>Coal</t>
  </si>
  <si>
    <t>83.7</t>
  </si>
  <si>
    <t>73.7</t>
  </si>
  <si>
    <t>Barangay Ingore, La Paz, Iloilo City, Iloilo</t>
  </si>
  <si>
    <t>PEDC_U02</t>
  </si>
  <si>
    <t>PEDC U2</t>
  </si>
  <si>
    <t>PEDC_U03</t>
  </si>
  <si>
    <t>PEDC U3</t>
  </si>
  <si>
    <t>150</t>
  </si>
  <si>
    <t>PALM_G01</t>
  </si>
  <si>
    <t>PCPC U1</t>
  </si>
  <si>
    <t>135</t>
  </si>
  <si>
    <t>121.5</t>
  </si>
  <si>
    <t>Sitio Puntales, Barangay Nipa, Concepcion, Iloilo</t>
  </si>
  <si>
    <t>NABASDPP_U01, NABASDPP_U02</t>
  </si>
  <si>
    <t>AVON-NABAS</t>
  </si>
  <si>
    <t>Diesel</t>
  </si>
  <si>
    <t>3, 3.4</t>
  </si>
  <si>
    <t>7.5</t>
  </si>
  <si>
    <t>6.4</t>
  </si>
  <si>
    <t>2</t>
  </si>
  <si>
    <t>Barangay Unidos, Nabas, Aklan</t>
  </si>
  <si>
    <t>Nabas</t>
  </si>
  <si>
    <t>PDPP1_U02, PDPP1_U03, PDPP1_U05</t>
  </si>
  <si>
    <t>PANAY DPP I</t>
  </si>
  <si>
    <t>5, 5, 5</t>
  </si>
  <si>
    <t>22.3</t>
  </si>
  <si>
    <t>3</t>
  </si>
  <si>
    <t>Barangay Tabugon, Dingle, Iloilo</t>
  </si>
  <si>
    <t>Dingle</t>
  </si>
  <si>
    <t>PDPP3_C, PDPP3_E, PDPP3_G, PDPP3_H</t>
  </si>
  <si>
    <t>PANAY DPP III</t>
  </si>
  <si>
    <t>12, 12, 13, 13</t>
  </si>
  <si>
    <t>58.3</t>
  </si>
  <si>
    <t>50</t>
  </si>
  <si>
    <t>5</t>
  </si>
  <si>
    <t>STBPB1_U01, STBPB1_U02, STBPB1_U03,
STBPB1_U04</t>
  </si>
  <si>
    <t>PB 101</t>
  </si>
  <si>
    <t>6, 6, 6, 6</t>
  </si>
  <si>
    <t>32</t>
  </si>
  <si>
    <t>24</t>
  </si>
  <si>
    <t>4</t>
  </si>
  <si>
    <t>Obrero, Iloilo (Iloilo City, Iloilo)</t>
  </si>
  <si>
    <t>TIMBA_G01</t>
  </si>
  <si>
    <t>TIMBABAN HEPP</t>
  </si>
  <si>
    <t>Hydroelectric</t>
  </si>
  <si>
    <t>17.8</t>
  </si>
  <si>
    <t>18.9</t>
  </si>
  <si>
    <t>Barangay Ma. Cristina, Madalag, Aklan</t>
  </si>
  <si>
    <t>Madalag</t>
  </si>
  <si>
    <t>SUWECO_G01</t>
  </si>
  <si>
    <t>VILLASIGA HEPP</t>
  </si>
  <si>
    <t>8.1</t>
  </si>
  <si>
    <t>6.3</t>
  </si>
  <si>
    <t>Barangay Igsoro, Bugasong, Antique</t>
  </si>
  <si>
    <t>Bugasog</t>
  </si>
  <si>
    <t>COSMO_G01</t>
  </si>
  <si>
    <t>COSMO SOLAR</t>
  </si>
  <si>
    <t>Solar</t>
  </si>
  <si>
    <t>5.7</t>
  </si>
  <si>
    <t>0</t>
  </si>
  <si>
    <t>Barangay Narat-an, Miag-ao, Iloilo</t>
  </si>
  <si>
    <t>Miag-ao</t>
  </si>
  <si>
    <t>PWIND_G01, PWIND_G02</t>
  </si>
  <si>
    <t>NABAS WIND</t>
  </si>
  <si>
    <t>Wind</t>
  </si>
  <si>
    <t>36.7, 13.2</t>
  </si>
  <si>
    <t>36</t>
  </si>
  <si>
    <t>21</t>
  </si>
  <si>
    <t>Barangay Pawa, Nabas, Aklan</t>
  </si>
  <si>
    <t>SLWIND_G01</t>
  </si>
  <si>
    <t>TAREC</t>
  </si>
  <si>
    <t>52.9</t>
  </si>
  <si>
    <t>54</t>
  </si>
  <si>
    <t>Barangay Sucluran, San Lorenzo, Guimaras</t>
  </si>
  <si>
    <t>San Lorenzo</t>
  </si>
  <si>
    <t>NEGROS</t>
  </si>
  <si>
    <t>KABAN_BAT</t>
  </si>
  <si>
    <t>KABANKALAN BESS</t>
  </si>
  <si>
    <t>BESS</t>
  </si>
  <si>
    <t>30</t>
  </si>
  <si>
    <t>33.9</t>
  </si>
  <si>
    <t>Barangay Binucuil, Kabankalan, Negros Occidental</t>
  </si>
  <si>
    <t>Kabankalan</t>
  </si>
  <si>
    <t>NIR</t>
  </si>
  <si>
    <t>SONEG_BAT</t>
  </si>
  <si>
    <t>SOUTHERN NEGROS BESS</t>
  </si>
  <si>
    <t>10</t>
  </si>
  <si>
    <t>14.5</t>
  </si>
  <si>
    <t>Brgy. Puhagan, Valencia, Negros Oriental</t>
  </si>
  <si>
    <t>Valencia</t>
  </si>
  <si>
    <t>CABI_G01</t>
  </si>
  <si>
    <t>CAB</t>
  </si>
  <si>
    <t>12</t>
  </si>
  <si>
    <t>25</t>
  </si>
  <si>
    <t>Barangay Calasga-an, Bais City, Negros Oriental</t>
  </si>
  <si>
    <t>Bais City</t>
  </si>
  <si>
    <t>FFHC_G01</t>
  </si>
  <si>
    <t>FIRST FARMERS</t>
  </si>
  <si>
    <t>9</t>
  </si>
  <si>
    <t>21.8</t>
  </si>
  <si>
    <t>11.4</t>
  </si>
  <si>
    <t>Barangay Dos Hermanas, Talisay City, Negros Occidental</t>
  </si>
  <si>
    <t>Talisay City</t>
  </si>
  <si>
    <t>HPCO_G01, HPCO_G02</t>
  </si>
  <si>
    <t>HPCo</t>
  </si>
  <si>
    <t>2, 9.5</t>
  </si>
  <si>
    <t>28</t>
  </si>
  <si>
    <t>17.7</t>
  </si>
  <si>
    <t>Silay-Hawaiian Central, Silay City, Negros Occidental</t>
  </si>
  <si>
    <t>Silay City</t>
  </si>
  <si>
    <t>SCBE_G01</t>
  </si>
  <si>
    <t>SAN CARLOS BIOENERGY (SBCI)</t>
  </si>
  <si>
    <t>7.4</t>
  </si>
  <si>
    <t>8.3</t>
  </si>
  <si>
    <t>4.4</t>
  </si>
  <si>
    <t>San Carlos Ecozone, Barangay Palampas and Punao, 
San Carlos City, Negros Occidental</t>
  </si>
  <si>
    <t>San Carlos City</t>
  </si>
  <si>
    <t>SCBIOP_G01</t>
  </si>
  <si>
    <t>SAN CARLOS BIOPOWER (SCBP)</t>
  </si>
  <si>
    <t>19.5</t>
  </si>
  <si>
    <t>20</t>
  </si>
  <si>
    <t>18</t>
  </si>
  <si>
    <t>Circumferential Road, San Carlos Economic Zone II, 
Barangay Palampas, San Carlos City, Negros Occidental</t>
  </si>
  <si>
    <t>STNEGB_G01</t>
  </si>
  <si>
    <t>SOUTH NEGROS BIOPOWER</t>
  </si>
  <si>
    <t>22.4</t>
  </si>
  <si>
    <t>Barangay Cubay, La Carlota City, Negros Occidental</t>
  </si>
  <si>
    <t>La Carlota City</t>
  </si>
  <si>
    <t>NTNEGB_G01</t>
  </si>
  <si>
    <t>NORTH NEGROS BIOPOWER</t>
  </si>
  <si>
    <t>Barangay Sta. Teresa, Manapla, Negros Occidental</t>
  </si>
  <si>
    <t>Manapala</t>
  </si>
  <si>
    <t>URC_G01</t>
  </si>
  <si>
    <t>URC</t>
  </si>
  <si>
    <t>19.7</t>
  </si>
  <si>
    <t>46</t>
  </si>
  <si>
    <t>San Juan, Barangay Camuga, Kabankalan, Negros Occidental</t>
  </si>
  <si>
    <t>VMC_G01</t>
  </si>
  <si>
    <t>VMC</t>
  </si>
  <si>
    <t>2.5</t>
  </si>
  <si>
    <t>23</t>
  </si>
  <si>
    <t>VMC Compound, JJ Osorio St., Barangay XVI, Victorias City,
Negros Occidental</t>
  </si>
  <si>
    <t>Victorias City</t>
  </si>
  <si>
    <t>VMC_G02</t>
  </si>
  <si>
    <t>VMC EXPANSION</t>
  </si>
  <si>
    <t>35</t>
  </si>
  <si>
    <t>40</t>
  </si>
  <si>
    <t>Barangay XVI, Victorias City, Negros Occidental</t>
  </si>
  <si>
    <t>BISCOM_G01</t>
  </si>
  <si>
    <t>BISCOM</t>
  </si>
  <si>
    <t>12.7</t>
  </si>
  <si>
    <t>48.5</t>
  </si>
  <si>
    <t>12.3</t>
  </si>
  <si>
    <t>Binalbagan, Himamaylan, Negros Occidental</t>
  </si>
  <si>
    <t>Himalayan</t>
  </si>
  <si>
    <t>CENPRI_U01, CENPRI_U02, CENPRI_U03,
CENPRI_U04, CENPRI_U05</t>
  </si>
  <si>
    <t>CALUMANGAN DPP</t>
  </si>
  <si>
    <t>4.4, 4.4, 4.4, 6.5, 
6.5</t>
  </si>
  <si>
    <t>31</t>
  </si>
  <si>
    <t>25.9</t>
  </si>
  <si>
    <t>Barangay Calumangan, Bago City, Negros Occidental</t>
  </si>
  <si>
    <t>Bago City</t>
  </si>
  <si>
    <t>NASULO_G01</t>
  </si>
  <si>
    <t>NASULO GPP</t>
  </si>
  <si>
    <t>Geothermal</t>
  </si>
  <si>
    <t>48.3</t>
  </si>
  <si>
    <t>49.4</t>
  </si>
  <si>
    <t>Puhagan, Valencia, Negros Oriental</t>
  </si>
  <si>
    <t>PAL1A_U01, PAL1A_U02, PAL1A_U03, 
PAL2A_U01, PAL2A_U02, PAL2A_U03, PAL2A_U04</t>
  </si>
  <si>
    <t>PALINPINON GPP</t>
  </si>
  <si>
    <t>35.2, 34.8, 35.4, 
18.8, 18.9, 18.9, 
20</t>
  </si>
  <si>
    <t>192.5</t>
  </si>
  <si>
    <t>172.5</t>
  </si>
  <si>
    <t>AMLA_G01</t>
  </si>
  <si>
    <t>AMLAN HEPP</t>
  </si>
  <si>
    <t>0.9</t>
  </si>
  <si>
    <t>0.8</t>
  </si>
  <si>
    <t>Sitio Pasalan, Barangay Silab, Amlan, Negros Oriental</t>
  </si>
  <si>
    <t>Amlan</t>
  </si>
  <si>
    <t>HELIOS_G01</t>
  </si>
  <si>
    <t>HELIOS</t>
  </si>
  <si>
    <t>108.1</t>
  </si>
  <si>
    <t>132.5</t>
  </si>
  <si>
    <t>Brgy., Tinampa-an Cadiz City, Negros Occidental</t>
  </si>
  <si>
    <t>Cadiz City</t>
  </si>
  <si>
    <t>CARSOL_G01</t>
  </si>
  <si>
    <t>ISLASOL II</t>
  </si>
  <si>
    <t>27.1</t>
  </si>
  <si>
    <t>27.2</t>
  </si>
  <si>
    <t>MANSOL_G01</t>
  </si>
  <si>
    <t>ISLASOL III</t>
  </si>
  <si>
    <t>40.5</t>
  </si>
  <si>
    <t>48.1</t>
  </si>
  <si>
    <t>MNTSOL_G01</t>
  </si>
  <si>
    <t>MONTESOL</t>
  </si>
  <si>
    <t>14.4</t>
  </si>
  <si>
    <t>Barangay Tamisu, Bais City, Negros Oriental</t>
  </si>
  <si>
    <t>SACASL_G01</t>
  </si>
  <si>
    <t>SACASOL I - A &amp; B</t>
  </si>
  <si>
    <t>13</t>
  </si>
  <si>
    <t>11.7</t>
  </si>
  <si>
    <t>Barangay Punao, San Carlos, Negros Occidental</t>
  </si>
  <si>
    <t>San Carlos</t>
  </si>
  <si>
    <t>SACASL_G02</t>
  </si>
  <si>
    <t>SACASOL 1 - C &amp; D</t>
  </si>
  <si>
    <t>19.8</t>
  </si>
  <si>
    <t>17.1</t>
  </si>
  <si>
    <t>SACSUN_G01</t>
  </si>
  <si>
    <t>SACASUN</t>
  </si>
  <si>
    <t>46.8</t>
  </si>
  <si>
    <t>Ecozone Blvd., San Carlos Ecozone, Barangay Punao,
San Carlos, Negros Occidental</t>
  </si>
  <si>
    <t>SYLSOL_G01</t>
  </si>
  <si>
    <t>SILAY SOLAR</t>
  </si>
  <si>
    <t>22</t>
  </si>
  <si>
    <t>Barangay Rizal, Silay City, Negros Occidental</t>
  </si>
  <si>
    <t>CALASOL_G01</t>
  </si>
  <si>
    <t>CALATRAVA SPP</t>
  </si>
  <si>
    <t>137.4</t>
  </si>
  <si>
    <t>169</t>
  </si>
  <si>
    <t>Barangay San Isidro, Calatrava, Negros Occidental</t>
  </si>
  <si>
    <t>Calatrava</t>
  </si>
  <si>
    <t>CEBU</t>
  </si>
  <si>
    <t>TPC_G01</t>
  </si>
  <si>
    <t>-</t>
  </si>
  <si>
    <t>Barangay Daanglusod, Toledo City, Cebu</t>
  </si>
  <si>
    <t>Toledo City</t>
  </si>
  <si>
    <t>7</t>
  </si>
  <si>
    <t>TPVI_U01, TPVI_U02, TPVI_U03, TPVI_U04,
TPVI_U05, TPVI_U06</t>
  </si>
  <si>
    <t>5.5, 5.5, 5.5, 5.5,
5.5, 5.5</t>
  </si>
  <si>
    <t>Barangay Bato, Toledo City, Cebu</t>
  </si>
  <si>
    <t>TOLEDO_BAT</t>
  </si>
  <si>
    <t>TOLEDO BESS</t>
  </si>
  <si>
    <t>23.7</t>
  </si>
  <si>
    <t>Barangay Calong-Calong, Toledo City, Cebu</t>
  </si>
  <si>
    <t>CEDC_U01</t>
  </si>
  <si>
    <t>CEDC U1</t>
  </si>
  <si>
    <t>83.2</t>
  </si>
  <si>
    <t>82</t>
  </si>
  <si>
    <t>CEDC_U02</t>
  </si>
  <si>
    <t>CEDC U2</t>
  </si>
  <si>
    <t>83.4</t>
  </si>
  <si>
    <t>CEDC_U03</t>
  </si>
  <si>
    <t>CEDC U3</t>
  </si>
  <si>
    <t>83.1</t>
  </si>
  <si>
    <t>KSPC_G01</t>
  </si>
  <si>
    <t>KSPC U1</t>
  </si>
  <si>
    <t>103</t>
  </si>
  <si>
    <t>110.5</t>
  </si>
  <si>
    <t>93.3</t>
  </si>
  <si>
    <t>Barangay Colon, Naga City, Cebu</t>
  </si>
  <si>
    <t>Naga City</t>
  </si>
  <si>
    <t>KSPC_G02</t>
  </si>
  <si>
    <t>KSPC U2</t>
  </si>
  <si>
    <t>TPC_G02</t>
  </si>
  <si>
    <t>TPC 1A EXPANSION</t>
  </si>
  <si>
    <t>83.6</t>
  </si>
  <si>
    <t>Barangay Daang-lusod, Toledo City, Cebu</t>
  </si>
  <si>
    <t>THVI_U01</t>
  </si>
  <si>
    <t xml:space="preserve">TVI U1 </t>
  </si>
  <si>
    <t xml:space="preserve">Sitio Looc, Barangay Bato, Toledo City, Cebu </t>
  </si>
  <si>
    <t>THVI_U02</t>
  </si>
  <si>
    <t>TVI U2</t>
  </si>
  <si>
    <t>CARMENDPP_U01, CARMENDPP_U02, 
CARMENDPP_U3, CARMENDPP_U04</t>
  </si>
  <si>
    <t xml:space="preserve">TPC (Carmen Station) </t>
  </si>
  <si>
    <t>10, 10, 10, 10</t>
  </si>
  <si>
    <t>34.4</t>
  </si>
  <si>
    <t>Daang-Lungsod, Toledo City, Cebu</t>
  </si>
  <si>
    <t>EAUC_U01, EAUC_U02, EAUC_U03, EAUC_U04, 
EAUC_U05</t>
  </si>
  <si>
    <t xml:space="preserve">EAST ASIA UTILITIES (MEPZA) </t>
  </si>
  <si>
    <t>11.5, 11, 11.5, 11.5</t>
  </si>
  <si>
    <t>37.2</t>
  </si>
  <si>
    <t>34.5</t>
  </si>
  <si>
    <t>Barrio Ibo, MEPZ, Lapu-Lapu City, (Cebu City), Cebu</t>
  </si>
  <si>
    <t>Lapu-Lapu City</t>
  </si>
  <si>
    <t>CPPC_U01, CPPC_U02, CPPC_U03, CPPC_U04,
CPPC_U05, CPPC_U06, CPPC_U07, CPPC_U08,
CPPC_U09, CPPC_U10,</t>
  </si>
  <si>
    <t xml:space="preserve">CEBU PRIVATE POWER </t>
  </si>
  <si>
    <t>6.5, 6.5, 6.5, 6.5, 
6.5, 6.5, 6.5, 6.5, 
6.5, 6.5</t>
  </si>
  <si>
    <t>70.6</t>
  </si>
  <si>
    <t>64</t>
  </si>
  <si>
    <t>Old VECO Compound, Barangay Ermita, Carbon, Cebu City</t>
  </si>
  <si>
    <t>Carbon</t>
  </si>
  <si>
    <t>TOLSOL_G01</t>
  </si>
  <si>
    <t>FIRST TOLEDO SOLAR</t>
  </si>
  <si>
    <t>48</t>
  </si>
  <si>
    <t>60</t>
  </si>
  <si>
    <t>49</t>
  </si>
  <si>
    <t>Hacienda Baltao, Talavera, Toledo, Cebu</t>
  </si>
  <si>
    <t>Toledo</t>
  </si>
  <si>
    <t>BOHOL</t>
  </si>
  <si>
    <t>UBAY_BAT</t>
  </si>
  <si>
    <t>UBAY_BESS</t>
  </si>
  <si>
    <t>21.4</t>
  </si>
  <si>
    <t>Barangay Imelda, Ubay, Bohol</t>
  </si>
  <si>
    <t>Ubay</t>
  </si>
  <si>
    <t>BIDPP_G01</t>
  </si>
  <si>
    <t>BOHOL IN-ISLAND DPP</t>
  </si>
  <si>
    <t>66.8</t>
  </si>
  <si>
    <t>42</t>
  </si>
  <si>
    <t>Brgy. Imelda, Ubay, Bohol</t>
  </si>
  <si>
    <t>BDPP_U01, BDPP_U02, BDPP_U03, BDPP_U04</t>
  </si>
  <si>
    <t>BOHOL DPP</t>
  </si>
  <si>
    <t>4, 4, 4, 4</t>
  </si>
  <si>
    <t>22.1</t>
  </si>
  <si>
    <t>16</t>
  </si>
  <si>
    <t>Dampas District, Tagbilaran City, Boho</t>
  </si>
  <si>
    <t>Tagbilaran City</t>
  </si>
  <si>
    <t>TPLPB4_U01, TPLPB4_U02, TPLPB4_U03, 
TPLPB4_U04</t>
  </si>
  <si>
    <t>PB 104</t>
  </si>
  <si>
    <t>7, 7, 7, 8</t>
  </si>
  <si>
    <t>29</t>
  </si>
  <si>
    <t>Tapal Wharf, Ubay, Bohol</t>
  </si>
  <si>
    <t>Ubaty</t>
  </si>
  <si>
    <t>JANOPO_G01</t>
  </si>
  <si>
    <t>JANOPOL HEPP</t>
  </si>
  <si>
    <t>Sto. Niño, Balilihan, Bohol</t>
  </si>
  <si>
    <t>Balilihan</t>
  </si>
  <si>
    <t>LOBOC_G01</t>
  </si>
  <si>
    <t>LOBOC HEPP</t>
  </si>
  <si>
    <t>1.2</t>
  </si>
  <si>
    <t xml:space="preserve">Barangay Gotozon, Loboc, Bohol </t>
  </si>
  <si>
    <t>Loboc</t>
  </si>
  <si>
    <t>LOBOC_G02</t>
  </si>
  <si>
    <t>LOBOC HEPP 2</t>
  </si>
  <si>
    <t>SEVILL_G01</t>
  </si>
  <si>
    <t>SEVILLA HEPP</t>
  </si>
  <si>
    <t>2.7</t>
  </si>
  <si>
    <t>Barangay Ewon, Sevilla, Boho</t>
  </si>
  <si>
    <t>Sevilla</t>
  </si>
  <si>
    <t>DAGSOL_G01</t>
  </si>
  <si>
    <t>DAGOHOY SPP</t>
  </si>
  <si>
    <t>20.2</t>
  </si>
  <si>
    <t>Dagohoy, Bohol</t>
  </si>
  <si>
    <t>Dagohoy</t>
  </si>
  <si>
    <t>LEYTE-SAMAR</t>
  </si>
  <si>
    <t>UTH_G01</t>
  </si>
  <si>
    <t>14.2</t>
  </si>
  <si>
    <t xml:space="preserve">Barangay Tongonan, Kananga, Leyte </t>
  </si>
  <si>
    <t>Ormoc</t>
  </si>
  <si>
    <t>TAFT_G01</t>
  </si>
  <si>
    <t>15.2</t>
  </si>
  <si>
    <t>Barangay San Rafael, Taft, Samar</t>
  </si>
  <si>
    <t>Eastern Samar</t>
  </si>
  <si>
    <t>ORMOC_BAT</t>
  </si>
  <si>
    <t>ORMOC PH 1&amp;2 BESS</t>
  </si>
  <si>
    <t>Barangay Milagro, Municipality of Ormoc, Province of Leyte</t>
  </si>
  <si>
    <t>IASMOD_G01, IASMOD_G02, IASMOD_G03,
IASMOD_G04, IASMOD_G05, IASMOD_G06</t>
  </si>
  <si>
    <t>Isabel Modular Diesel Ancillary 
Service Power Plant</t>
  </si>
  <si>
    <t>10, 10.10, 15.10,
10.2, 15.1, 10.2</t>
  </si>
  <si>
    <t>86.3</t>
  </si>
  <si>
    <t>70.7</t>
  </si>
  <si>
    <t>80</t>
  </si>
  <si>
    <t>Barangay Libertad, Isabel, Leyte</t>
  </si>
  <si>
    <t>Isabel</t>
  </si>
  <si>
    <t>CLBYBNK_G01</t>
  </si>
  <si>
    <t>CALBAYOG BCFDPP</t>
  </si>
  <si>
    <t>10.9</t>
  </si>
  <si>
    <t>11.2</t>
  </si>
  <si>
    <t>10.6</t>
  </si>
  <si>
    <t>Purok 1, Sitio Looc, Barangay Carayman, Calbayog City, Samar</t>
  </si>
  <si>
    <t>Calbayog City</t>
  </si>
  <si>
    <t>LGPP_G01</t>
  </si>
  <si>
    <t>TONGONAN I GPP</t>
  </si>
  <si>
    <t>113.5</t>
  </si>
  <si>
    <t>123</t>
  </si>
  <si>
    <t>115.4</t>
  </si>
  <si>
    <t>Kananga</t>
  </si>
  <si>
    <t>LEYTE_A</t>
  </si>
  <si>
    <t>UNIFIED LEYTE</t>
  </si>
  <si>
    <t>490.10</t>
  </si>
  <si>
    <t>610.2</t>
  </si>
  <si>
    <t>551.4</t>
  </si>
  <si>
    <t xml:space="preserve">Barangay Tongonan, Ormoc and Barangays Lim-ao and Tongonan, 
Kananga, Leyte </t>
  </si>
  <si>
    <t>Ormoc and
Kananga</t>
  </si>
  <si>
    <t>ISIDROSOL_G01</t>
  </si>
  <si>
    <t>100.5</t>
  </si>
  <si>
    <t>San Isidro, Leyte</t>
  </si>
  <si>
    <t>San Isidro</t>
  </si>
  <si>
    <t>TAFTSOL_G01</t>
  </si>
  <si>
    <t>17.5</t>
  </si>
  <si>
    <t>Barangay San Rafael, Eastern Samar</t>
  </si>
  <si>
    <t>SEPSOL_G01</t>
  </si>
  <si>
    <t>SEPALCO</t>
  </si>
  <si>
    <t>49.8</t>
  </si>
  <si>
    <t>Barangay Castilla, Palo, Leyte</t>
  </si>
  <si>
    <t>Palo</t>
  </si>
  <si>
    <t>PHSOL_G01</t>
  </si>
  <si>
    <t>SOLEQ</t>
  </si>
  <si>
    <t>24.5</t>
  </si>
  <si>
    <t>30.4</t>
  </si>
  <si>
    <t>Barangay Dolores, Ormoc, Leyte</t>
  </si>
  <si>
    <t>IEMOP Line Name</t>
  </si>
  <si>
    <t>TDP Line Name</t>
  </si>
  <si>
    <t>TDP Source</t>
  </si>
  <si>
    <t>From</t>
  </si>
  <si>
    <t>To</t>
  </si>
  <si>
    <t>Base kV</t>
  </si>
  <si>
    <t>Line Capacity
(in MVA)</t>
  </si>
  <si>
    <t>Base MVA</t>
  </si>
  <si>
    <t>Base Z</t>
  </si>
  <si>
    <t>Size 
(in MCM)</t>
  </si>
  <si>
    <t>Type</t>
  </si>
  <si>
    <t>Length (in km)</t>
  </si>
  <si>
    <t>Length (in kft)</t>
  </si>
  <si>
    <t>R (ohm/kft)</t>
  </si>
  <si>
    <t>R (ohm/km)</t>
  </si>
  <si>
    <t>Xcap (megohm-kft)</t>
  </si>
  <si>
    <t>X (Megaohm/kft)</t>
  </si>
  <si>
    <t>X (Megaohm/km)</t>
  </si>
  <si>
    <t>Complex</t>
  </si>
  <si>
    <t>Y + jB</t>
  </si>
  <si>
    <t>B (S/kft)</t>
  </si>
  <si>
    <t>R (ohm)</t>
  </si>
  <si>
    <t>X (ohm)</t>
  </si>
  <si>
    <t>Page</t>
  </si>
  <si>
    <t>Year</t>
  </si>
  <si>
    <t>NABA_PAN1 196 MVA</t>
  </si>
  <si>
    <t>Panitan-Nabas 138kV Transmission Line 2 Project</t>
  </si>
  <si>
    <t>2019-2040</t>
  </si>
  <si>
    <t>Panit-an</t>
  </si>
  <si>
    <t>ACSR</t>
  </si>
  <si>
    <t>NABA_PAN2 196 MVA</t>
  </si>
  <si>
    <t>DING_PAN1 196 MVA</t>
  </si>
  <si>
    <t>Overpass Turbo (assumed ST-DC)</t>
  </si>
  <si>
    <t>DING_PAN2 196 MVA</t>
  </si>
  <si>
    <t>BARO_DIN1 196 MVA</t>
  </si>
  <si>
    <t>Barotac Viejo</t>
  </si>
  <si>
    <t>BARO_DIN2 196 MVA</t>
  </si>
  <si>
    <t>BARO_DIN3 196 MVA</t>
  </si>
  <si>
    <t>STBA_DIN1 196 MVA</t>
  </si>
  <si>
    <t>Sta. Barbara-Dingle 138 kV Line 3 Project</t>
  </si>
  <si>
    <t>2014-2015</t>
  </si>
  <si>
    <t>Sta. Barbara S/S</t>
  </si>
  <si>
    <t>STBA_DIN2 196 MVA</t>
  </si>
  <si>
    <t>BARO_CNP1 392 MVA</t>
  </si>
  <si>
    <t>Concepcion</t>
  </si>
  <si>
    <t>BARO_CNP2 392 MVA</t>
  </si>
  <si>
    <t>STBA_SNJ1 196 MVA</t>
  </si>
  <si>
    <t>Overpass Turbo</t>
  </si>
  <si>
    <t>San Jose</t>
  </si>
  <si>
    <t>ILO_STB1 409 MVA</t>
  </si>
  <si>
    <t>Iloilo 1</t>
  </si>
  <si>
    <t>ILO_STB2 409 MVA</t>
  </si>
  <si>
    <t>STBA_BNTI 63 MVA</t>
  </si>
  <si>
    <t>Banuyao Tap</t>
  </si>
  <si>
    <t>BANT_BVI1 63 MVA</t>
  </si>
  <si>
    <t>Buenavista</t>
  </si>
  <si>
    <t>GAH_BAR1 444 MVA</t>
  </si>
  <si>
    <t>Gahit CTS</t>
  </si>
  <si>
    <t>GAH_BAR2 444 MVA</t>
  </si>
  <si>
    <t>GCTS_GAH1 638 MVA</t>
  </si>
  <si>
    <t>Gahit</t>
  </si>
  <si>
    <t>GCTS_GAH2 638 MVA</t>
  </si>
  <si>
    <t>GAHIT_BCL1 638 MVA</t>
  </si>
  <si>
    <t>Bacolod</t>
  </si>
  <si>
    <t>GAHIT_BCL2 638 MVA</t>
  </si>
  <si>
    <t>CADI_GAH1 1276 MVA</t>
  </si>
  <si>
    <t>Cadiz</t>
  </si>
  <si>
    <t>CADI_GAH2 1276 MVA</t>
  </si>
  <si>
    <t>CAY_CAD1 1276 MVA</t>
  </si>
  <si>
    <t>Cebu-Negros-Panay 230kV Backbone Project - Stage 3</t>
  </si>
  <si>
    <t>2023-2040</t>
  </si>
  <si>
    <t>CAY_CAD2 1276 MVA</t>
  </si>
  <si>
    <t>HELI_CAD1 196 MVA</t>
  </si>
  <si>
    <t>Helios</t>
  </si>
  <si>
    <t>CCTS_CAL1 196 MVA</t>
  </si>
  <si>
    <t>Calatrava CTS</t>
  </si>
  <si>
    <t>CCTS_CAL2 196 MVA</t>
  </si>
  <si>
    <t>CALA_SCW1 95.6 MVA</t>
  </si>
  <si>
    <t>San Carlos Switching Station</t>
  </si>
  <si>
    <t>CALA_SCW2 95.6 MVA</t>
  </si>
  <si>
    <t>BACO_CAD1 196 MVA</t>
  </si>
  <si>
    <t>BCL_NNG1 196 MVA</t>
  </si>
  <si>
    <t>KABA_BAC1 196 MVA</t>
  </si>
  <si>
    <t>KABA_BAC2 196 MVA</t>
  </si>
  <si>
    <t>KABA_KEB1 196 MVA</t>
  </si>
  <si>
    <t>Kabankalan BESS</t>
  </si>
  <si>
    <t>KABA_MAB1 196 MVA</t>
  </si>
  <si>
    <t>Mabinay</t>
  </si>
  <si>
    <t>KABA_MAB2 196 MVA</t>
  </si>
  <si>
    <t>AMLA_MAB1 196 MVA</t>
  </si>
  <si>
    <t>AMLA_MAB2 196 MVA</t>
  </si>
  <si>
    <t>PGP1_AML1 196 MVA</t>
  </si>
  <si>
    <t>PGPP1</t>
  </si>
  <si>
    <t>PGP1_AML2 196 MVA</t>
  </si>
  <si>
    <t>AMLA_PG21 196 MVA</t>
  </si>
  <si>
    <t>PGPP2</t>
  </si>
  <si>
    <t>AMLA_PG22 196 MVA</t>
  </si>
  <si>
    <t>TALA_CAL1 444 MVA</t>
  </si>
  <si>
    <t>Talavera CTS</t>
  </si>
  <si>
    <t>Submarine</t>
  </si>
  <si>
    <t>TALA_CAL2 444 MVA</t>
  </si>
  <si>
    <t>MAGD_TAL1 1276 MVA</t>
  </si>
  <si>
    <t>Magdugo</t>
  </si>
  <si>
    <t>MAGD_TAL2 1276 MVA</t>
  </si>
  <si>
    <t>MAGD_TVT1 1276 MVA</t>
  </si>
  <si>
    <t>Therma Visayas</t>
  </si>
  <si>
    <t>MAGD_TVT2 1276 MVA</t>
  </si>
  <si>
    <t>MAGD_DMA1 1276 MVA</t>
  </si>
  <si>
    <t>Dumanjug</t>
  </si>
  <si>
    <t>MAGD_DMA2 1276 MVA</t>
  </si>
  <si>
    <t>CEBU_MGD1 1276 MVA</t>
  </si>
  <si>
    <t>Cebu</t>
  </si>
  <si>
    <t>CEBU_MGD2 1276 MVA</t>
  </si>
  <si>
    <t>COLO_MGD1 392 MVA</t>
  </si>
  <si>
    <t>Colon</t>
  </si>
  <si>
    <t>COLO_MGD2 392 MVA</t>
  </si>
  <si>
    <t>COLO_MGD3 392 MVA</t>
  </si>
  <si>
    <t>MAGD_DNL1 392 MVA</t>
  </si>
  <si>
    <t>Daanglungsod</t>
  </si>
  <si>
    <t>MAGD_CAL1 196 MVA</t>
  </si>
  <si>
    <t>Calung-Calung</t>
  </si>
  <si>
    <t>MAGD_CAL2 196 MVA</t>
  </si>
  <si>
    <t>DANL_CAL1 420 MVA</t>
  </si>
  <si>
    <t>DANL_CAL2 420 MVA</t>
  </si>
  <si>
    <t>DMAN_SAM1 196 MVA</t>
  </si>
  <si>
    <t>Samboan</t>
  </si>
  <si>
    <t>DMAN_SAM2 196 MVA</t>
  </si>
  <si>
    <t>COLO_DMA1 196 MVA</t>
  </si>
  <si>
    <t>COLO_DMA2 196 MVA</t>
  </si>
  <si>
    <t>SAMB_AML1 108 MVA</t>
  </si>
  <si>
    <t>SAMB_AML2 108 MVA</t>
  </si>
  <si>
    <t>DMA_ARG1 1276 MA</t>
  </si>
  <si>
    <t>Cebu-Bohol 230kV Interconnection*</t>
  </si>
  <si>
    <t>Argao CTS</t>
  </si>
  <si>
    <t>DMA_ARG2 1276 MA</t>
  </si>
  <si>
    <t>ARG_MJO1 666 MVA</t>
  </si>
  <si>
    <t>Maribojoc CTS</t>
  </si>
  <si>
    <t>ARG_MJO2 666 MVA</t>
  </si>
  <si>
    <t>COLO_TOL1 196 MVA</t>
  </si>
  <si>
    <t>COLO_QUI1 392 MVA</t>
  </si>
  <si>
    <t>Quiot</t>
  </si>
  <si>
    <t>COLO_CEB2 392 MVA</t>
  </si>
  <si>
    <t>COLO_CEB3 392 MVA</t>
  </si>
  <si>
    <t>COLO_KSP1 196 MVA</t>
  </si>
  <si>
    <t>KSPC</t>
  </si>
  <si>
    <t>COLO_KSP2 196 MVA</t>
  </si>
  <si>
    <t>COLO_NAG1 196 MVA</t>
  </si>
  <si>
    <t>Naga</t>
  </si>
  <si>
    <t>COLO_NAG2 196 MVA</t>
  </si>
  <si>
    <t>TLBS_CAL1 63 MVA</t>
  </si>
  <si>
    <t>Toledo Bess</t>
  </si>
  <si>
    <t>QUIO_CEB1 392 MVA</t>
  </si>
  <si>
    <t>CEBU_COM1 423 MVA</t>
  </si>
  <si>
    <t>Compostela</t>
  </si>
  <si>
    <t>CEBU_COM2 423 MVA</t>
  </si>
  <si>
    <t>CEBU_MAN1 200 MVA</t>
  </si>
  <si>
    <t>Cebu-Lapulapu 230kV T/L*</t>
  </si>
  <si>
    <t>Mandaue</t>
  </si>
  <si>
    <t>CEBU_MAN2 200 MVA</t>
  </si>
  <si>
    <t>MAND_LAP1 100 MVA</t>
  </si>
  <si>
    <t>Lapu-Lapu</t>
  </si>
  <si>
    <t>MAND_LAP2 100 MVA</t>
  </si>
  <si>
    <t>DAAN_COM1 488 MVA</t>
  </si>
  <si>
    <t>Daan Bantayan</t>
  </si>
  <si>
    <t>DAAN_COM2 488 MVA</t>
  </si>
  <si>
    <t>DAAN_TAB1 200 MVA</t>
  </si>
  <si>
    <t>Tabango</t>
  </si>
  <si>
    <t>DAAN_TAB2 200 MVA</t>
  </si>
  <si>
    <t>CRLA_MJO1 1276MVA</t>
  </si>
  <si>
    <t>Cebu-Bohol 230 kV Interconnection Project</t>
  </si>
  <si>
    <t>CORELLA</t>
  </si>
  <si>
    <t>MARIBOJOC CTS</t>
  </si>
  <si>
    <t>CRLA_MJO2 1276MVA</t>
  </si>
  <si>
    <t>UBAY_CRA1 196MVA</t>
  </si>
  <si>
    <t>Overpass Turbo: Corella - Ubay 138 kV Line</t>
  </si>
  <si>
    <t>UBAY</t>
  </si>
  <si>
    <t>UBAY_TAP1 63MVA</t>
  </si>
  <si>
    <t>Ubay Substation to Tapal Port (power barge at tapal wharf)</t>
  </si>
  <si>
    <t>TAPAL</t>
  </si>
  <si>
    <t>KANA_TAB1 488 MVA</t>
  </si>
  <si>
    <t>KANANGA</t>
  </si>
  <si>
    <t>TABANGO</t>
  </si>
  <si>
    <t>KANA_TAB2 488 MVA</t>
  </si>
  <si>
    <t>KANA_ORM1 976 MVA</t>
  </si>
  <si>
    <t>ORMOC</t>
  </si>
  <si>
    <t>KANA_ORM2 976 MVA</t>
  </si>
  <si>
    <t>CBNK_CTP1 63MVA</t>
  </si>
  <si>
    <t>CALBAYOG BUNKER</t>
  </si>
  <si>
    <t>CALBAYOG TAPPING POINT</t>
  </si>
  <si>
    <t>CTAP_SNA1 63MVA</t>
  </si>
  <si>
    <t>SAN AGUSTIN</t>
  </si>
  <si>
    <t>CLBY_CTP1 63 MVA</t>
  </si>
  <si>
    <t>CALBAYOG</t>
  </si>
  <si>
    <t>CLBY_PAR1 196MVA</t>
  </si>
  <si>
    <t>Overpass Turbo: Paranas-Calbayog 138 kV Line 
(assumed ST-DC)</t>
  </si>
  <si>
    <t>PARANAS</t>
  </si>
  <si>
    <t>CLBY_PAR2 196 MVA</t>
  </si>
  <si>
    <t>BABN_PAR1 196 MVA</t>
  </si>
  <si>
    <t>Overpass Turbo: Babatngon-Paranas 138 kV Line</t>
  </si>
  <si>
    <t>BABATNGON</t>
  </si>
  <si>
    <t>BABN_STA2 186 MVA</t>
  </si>
  <si>
    <t>STA. RITA TAP</t>
  </si>
  <si>
    <t>PAR_STA2 196 MVA</t>
  </si>
  <si>
    <t>STAP_STA1 196MVA</t>
  </si>
  <si>
    <t>STA.RITA</t>
  </si>
  <si>
    <t>ORMO_BAB1 196MVA</t>
  </si>
  <si>
    <t>Ormoc-Babatngon 138kV T/L</t>
  </si>
  <si>
    <t>ORMO_BAB2 196MVA</t>
  </si>
  <si>
    <t>TONG_ISA1 196 MVA</t>
  </si>
  <si>
    <t>TONGONAN</t>
  </si>
  <si>
    <t>ISABEL</t>
  </si>
  <si>
    <t>ORMO_TON1 196 MVA</t>
  </si>
  <si>
    <t>Overpass Turbo: Ormoc-Tongonan Transmission Line</t>
  </si>
  <si>
    <t>ORMO_ISA1 196MVA</t>
  </si>
  <si>
    <t>ORMO_MAA1 196 MVA</t>
  </si>
  <si>
    <t>Overpass Turbo: Maasin-Ormoc 138 kV Line 
(assumed ST-DC)</t>
  </si>
  <si>
    <t>MAASIN</t>
  </si>
  <si>
    <t>ORMO_MAA2 196 MVA</t>
  </si>
  <si>
    <t>MAAS_UBA1 108MVA</t>
  </si>
  <si>
    <t>Overpass Turbo: Maasin-Ubay 138 kV Line</t>
  </si>
  <si>
    <t>Name</t>
  </si>
  <si>
    <t>Rated Power (MVA)</t>
  </si>
  <si>
    <t>Rated Voltage (kV)</t>
  </si>
  <si>
    <t>Network Impedance Parameters</t>
  </si>
  <si>
    <t xml:space="preserve">Primary Winding </t>
  </si>
  <si>
    <t>Secondary Winding</t>
  </si>
  <si>
    <t>Third Winding</t>
  </si>
  <si>
    <t>%Z</t>
  </si>
  <si>
    <t>X/R</t>
  </si>
  <si>
    <t>Resistance (R)</t>
  </si>
  <si>
    <t>Reactance (X)</t>
  </si>
  <si>
    <t>Conductance (G)</t>
  </si>
  <si>
    <t>Susceptance (B)</t>
  </si>
  <si>
    <t>Phase Shift</t>
  </si>
  <si>
    <t>8NABAS_TR1</t>
  </si>
  <si>
    <t>8NABAS_TR2</t>
  </si>
  <si>
    <t>8PANITA_TR1</t>
  </si>
  <si>
    <t>Panit-An</t>
  </si>
  <si>
    <t>8PANITA_TR2</t>
  </si>
  <si>
    <t>8PANITA_TR3</t>
  </si>
  <si>
    <t>8BAR230_TR1</t>
  </si>
  <si>
    <t>8BAR230_TR2</t>
  </si>
  <si>
    <t>8BAR230_TR3</t>
  </si>
  <si>
    <t>8BARTAC_TR1</t>
  </si>
  <si>
    <t>8CNEP_TR1</t>
  </si>
  <si>
    <t>8PALM_TR1</t>
  </si>
  <si>
    <t>8DINGLE_TR1</t>
  </si>
  <si>
    <t>8DINGLE_TR2</t>
  </si>
  <si>
    <t>8PDPP1_TR1</t>
  </si>
  <si>
    <t>8PDPP1_TR2</t>
  </si>
  <si>
    <t>8PDPP3_TR1</t>
  </si>
  <si>
    <t>8PDPP3_TR2</t>
  </si>
  <si>
    <t>8SNJOSE_TR1</t>
  </si>
  <si>
    <t>8SNJOSE_TR2</t>
  </si>
  <si>
    <t>8SNJOSE_TR3</t>
  </si>
  <si>
    <t>8STBAR_TR1</t>
  </si>
  <si>
    <t>8STBAR_TR2</t>
  </si>
  <si>
    <t>8STBAR_TR3</t>
  </si>
  <si>
    <t>8ILO1_TR1</t>
  </si>
  <si>
    <t>8ILO2_TR2</t>
  </si>
  <si>
    <t>8PEDC_TR1</t>
  </si>
  <si>
    <t>8PEDC_TR2</t>
  </si>
  <si>
    <t>8PEDC_TR3</t>
  </si>
  <si>
    <t>8PEDC_TR1A1</t>
  </si>
  <si>
    <t>8PEDC_TR2A1</t>
  </si>
  <si>
    <t>6CADIZ230_TR1</t>
  </si>
  <si>
    <t>6CADIZ230_TR2</t>
  </si>
  <si>
    <t>6CADIZ_TR1</t>
  </si>
  <si>
    <t>6CADIZ_TR2</t>
  </si>
  <si>
    <t>6HELIOS_TR1</t>
  </si>
  <si>
    <t>6HELIOS_TR2</t>
  </si>
  <si>
    <t>6CALASOL_TR1</t>
  </si>
  <si>
    <t>6CALASOL_TR2</t>
  </si>
  <si>
    <t>6CLTRAVA_TR1</t>
  </si>
  <si>
    <t>6CLTRAVA_TR2</t>
  </si>
  <si>
    <t>6BCL230_TR1</t>
  </si>
  <si>
    <t>6BCL230_TR2</t>
  </si>
  <si>
    <t>6BCOLOD_TR1</t>
  </si>
  <si>
    <t>6BCOLOD_TR2</t>
  </si>
  <si>
    <t>6BCOLOD_TR3</t>
  </si>
  <si>
    <t>6CENPRI_TR1</t>
  </si>
  <si>
    <t>6BBGPP_TR1</t>
  </si>
  <si>
    <t>6KABAN_TR1</t>
  </si>
  <si>
    <t>6KABAN_TR2</t>
  </si>
  <si>
    <t>6KABAN_TR3</t>
  </si>
  <si>
    <t>6KBES_TR1</t>
  </si>
  <si>
    <t>6KBES_TR2</t>
  </si>
  <si>
    <t>6PGPP1_TR1</t>
  </si>
  <si>
    <t>6PGPP1_TR2</t>
  </si>
  <si>
    <t>6PGPP1_TR3</t>
  </si>
  <si>
    <t>6SOGON_TR1</t>
  </si>
  <si>
    <t>6SOGON_TR2</t>
  </si>
  <si>
    <t>6OKOY_TR1</t>
  </si>
  <si>
    <t>6SONEG_TR1</t>
  </si>
  <si>
    <t>6NASULO_TR1</t>
  </si>
  <si>
    <t>6NASUJI_TR1</t>
  </si>
  <si>
    <t>6AMLAN_TR1</t>
  </si>
  <si>
    <t>6AMLAN_TR2</t>
  </si>
  <si>
    <t>6AMLAN_TR3</t>
  </si>
  <si>
    <t>6MABINA_TR1</t>
  </si>
  <si>
    <t>6MABINA_TR2</t>
  </si>
  <si>
    <t>5DAANB_TR1</t>
  </si>
  <si>
    <t>5DAANB_TR2</t>
  </si>
  <si>
    <t>5COMPST_TR1</t>
  </si>
  <si>
    <t>5COMPST_TR2</t>
  </si>
  <si>
    <t>5COMPST_TR3</t>
  </si>
  <si>
    <t>5COMPST_TR4</t>
  </si>
  <si>
    <t>5COMPST_TR5</t>
  </si>
  <si>
    <t>5COMPST_TR6</t>
  </si>
  <si>
    <t>5CEBU230_TR1</t>
  </si>
  <si>
    <t>5CEBU230_TR2</t>
  </si>
  <si>
    <t>5CEBU230_TR3</t>
  </si>
  <si>
    <t>5CEBU_TR2</t>
  </si>
  <si>
    <t>5CEBU_TR3</t>
  </si>
  <si>
    <t>5CEBU_TR4</t>
  </si>
  <si>
    <t>5MNDUE_TR1</t>
  </si>
  <si>
    <t>5MNDUE_TR2</t>
  </si>
  <si>
    <t>5LAPU_TR1</t>
  </si>
  <si>
    <t>5LAPU_TR2</t>
  </si>
  <si>
    <t>5LAPU_TR3</t>
  </si>
  <si>
    <t>5QUIOT_TR1</t>
  </si>
  <si>
    <t>5QUIOT_TR2</t>
  </si>
  <si>
    <t>5SIGPIT_TR1</t>
  </si>
  <si>
    <t>5SIGPIT_TR2</t>
  </si>
  <si>
    <t>5SIGPIT_TR3</t>
  </si>
  <si>
    <t>5TOLBESS_TR1</t>
  </si>
  <si>
    <t>Toledo BESS</t>
  </si>
  <si>
    <t>5CALUN_TR1</t>
  </si>
  <si>
    <t>5CALUN_TR2</t>
  </si>
  <si>
    <t>5MAGDU_TR1</t>
  </si>
  <si>
    <t>5MAGDU_TR2</t>
  </si>
  <si>
    <t>5MAGDU_TR3</t>
  </si>
  <si>
    <t>5THERMA_TR1</t>
  </si>
  <si>
    <t>5THERMA_TR2</t>
  </si>
  <si>
    <t>5CEDC_TR1</t>
  </si>
  <si>
    <t>5CEDC_TR2</t>
  </si>
  <si>
    <t>5CEDC_TR3</t>
  </si>
  <si>
    <t>5DUMAN_TR1</t>
  </si>
  <si>
    <t>5DUMAN_TR2</t>
  </si>
  <si>
    <t>5DUMAN_TR3</t>
  </si>
  <si>
    <t>5DUMAN_TR4</t>
  </si>
  <si>
    <t>5SMBOAN_TR1</t>
  </si>
  <si>
    <t>5SBOAN_TR2</t>
  </si>
  <si>
    <t>5COLON_TR1</t>
  </si>
  <si>
    <t>5COLON_TR2</t>
  </si>
  <si>
    <t>5NAGA_TR7</t>
  </si>
  <si>
    <t>5NAGA_TR8</t>
  </si>
  <si>
    <t>5CDP_TR1</t>
  </si>
  <si>
    <t>5CDP_TR2</t>
  </si>
  <si>
    <t>5KSPC_TR1</t>
  </si>
  <si>
    <t>5KSPC_TR2</t>
  </si>
  <si>
    <t>7COREL_TR1</t>
  </si>
  <si>
    <t>Corella</t>
  </si>
  <si>
    <t>7COREL_TR2</t>
  </si>
  <si>
    <t>7CORELL_TR1</t>
  </si>
  <si>
    <t>7CORELL_TR2</t>
  </si>
  <si>
    <t>7UBAY_TR1</t>
  </si>
  <si>
    <t>7UBBAT_TR1</t>
  </si>
  <si>
    <t>7BIDPP_TR1</t>
  </si>
  <si>
    <t>7TAPAL_TR1</t>
  </si>
  <si>
    <t>Tapal</t>
  </si>
  <si>
    <t>4ISIDROSOL_TR1</t>
  </si>
  <si>
    <t>4TABANG_TR2</t>
  </si>
  <si>
    <t>4CLBYOG_TR1</t>
  </si>
  <si>
    <t>Calbayog</t>
  </si>
  <si>
    <t>4CLBYOG_TR2</t>
  </si>
  <si>
    <t>4CLBYOG69_TR1</t>
  </si>
  <si>
    <t>Calbayog Bunker</t>
  </si>
  <si>
    <t>4PARAN_TR2</t>
  </si>
  <si>
    <t>Paranas</t>
  </si>
  <si>
    <t>4TFS_TR1</t>
  </si>
  <si>
    <t>4UTH_TR1</t>
  </si>
  <si>
    <t>4TAFT_TR1</t>
  </si>
  <si>
    <t>4BBTNGN_TR1</t>
  </si>
  <si>
    <t>Babatngon</t>
  </si>
  <si>
    <t>4BBTNGN_TR2</t>
  </si>
  <si>
    <t>4BBTNGN_TR3</t>
  </si>
  <si>
    <t>4STRITA_TR1</t>
  </si>
  <si>
    <t>Sta. Rita</t>
  </si>
  <si>
    <t>4TNBESS_TR1</t>
  </si>
  <si>
    <t>Tongonan</t>
  </si>
  <si>
    <t>4TONGON_TR1</t>
  </si>
  <si>
    <t>4TONGON_TR2</t>
  </si>
  <si>
    <t>4TONGON_TR3</t>
  </si>
  <si>
    <t>4TONGON_TR4</t>
  </si>
  <si>
    <t>4TONGON_TR5</t>
  </si>
  <si>
    <t>4ORM230_TR1</t>
  </si>
  <si>
    <t>4ORM230_TR2</t>
  </si>
  <si>
    <t>4ORM230_TR3</t>
  </si>
  <si>
    <t>4ORM230_TR4</t>
  </si>
  <si>
    <t>4ORM138_TR1</t>
  </si>
  <si>
    <t>4ORM138_TR2</t>
  </si>
  <si>
    <t>4ISABEL_TR1</t>
  </si>
  <si>
    <t>4MAASIN_TR1</t>
  </si>
  <si>
    <t>Maasin</t>
  </si>
  <si>
    <t>4MAASIN_TR2</t>
  </si>
  <si>
    <t>Votlage (kV)</t>
  </si>
  <si>
    <t>Reactive Power (MVAr)</t>
  </si>
  <si>
    <t>08NABAS_C01</t>
  </si>
  <si>
    <t>C</t>
  </si>
  <si>
    <t>08PANIT_C01</t>
  </si>
  <si>
    <t>08PANIT_C02</t>
  </si>
  <si>
    <t>08SNJOSE_C01</t>
  </si>
  <si>
    <t>08STBAR_C01</t>
  </si>
  <si>
    <t>08STBAR_C02</t>
  </si>
  <si>
    <t>08BAROTAC_S01</t>
  </si>
  <si>
    <t>R</t>
  </si>
  <si>
    <t>06BACOL_C01</t>
  </si>
  <si>
    <t>06BACOL_C02</t>
  </si>
  <si>
    <t>06BACOL_C03</t>
  </si>
  <si>
    <t>06BACOL_C04</t>
  </si>
  <si>
    <t>06BACOL_C05</t>
  </si>
  <si>
    <t>06BACOL_C06</t>
  </si>
  <si>
    <t>06KABAN_C01</t>
  </si>
  <si>
    <t>06KABAN_C02</t>
  </si>
  <si>
    <t>06KABAN_C03</t>
  </si>
  <si>
    <t>06AMLAN_C01</t>
  </si>
  <si>
    <t>06AMLAN_C02</t>
  </si>
  <si>
    <t>06BACOL_S01</t>
  </si>
  <si>
    <t>06CALA_S01</t>
  </si>
  <si>
    <t>06CALA_S02</t>
  </si>
  <si>
    <t>06AMLAN_S01</t>
  </si>
  <si>
    <t>06AMLAN_S02</t>
  </si>
  <si>
    <t>06AMLAN_S03</t>
  </si>
  <si>
    <t>05COMPST_C01</t>
  </si>
  <si>
    <t>05COMPST_C02</t>
  </si>
  <si>
    <t>05CEBU_C02</t>
  </si>
  <si>
    <t>05CEBU_C03</t>
  </si>
  <si>
    <t>05CEB69_C01</t>
  </si>
  <si>
    <t>05CEB69_C02</t>
  </si>
  <si>
    <t>05CEB69_C03</t>
  </si>
  <si>
    <t>05DAANB_S01</t>
  </si>
  <si>
    <t>05DAANB_S02</t>
  </si>
  <si>
    <t>05DAANB_S03</t>
  </si>
  <si>
    <t>05DAANB_S04</t>
  </si>
  <si>
    <t>05DAANB_S05</t>
  </si>
  <si>
    <t>05COMPST_S01</t>
  </si>
  <si>
    <t>05MAGDU_S01</t>
  </si>
  <si>
    <t>05MAGDU_S02</t>
  </si>
  <si>
    <t>5DMA_S01</t>
  </si>
  <si>
    <t>5DMA_S02</t>
  </si>
  <si>
    <t>7CRELLA_C01</t>
  </si>
  <si>
    <t>7CRELLA_C02</t>
  </si>
  <si>
    <t>7CRELLA_C03</t>
  </si>
  <si>
    <t>7CRELLA_C04</t>
  </si>
  <si>
    <t>7CRELLA_C05</t>
  </si>
  <si>
    <t>7CRELLA_C06</t>
  </si>
  <si>
    <t>7CRELLA_C07</t>
  </si>
  <si>
    <t>7CRELLA_C08</t>
  </si>
  <si>
    <t>7UBAY_C01</t>
  </si>
  <si>
    <t>7UBAY_C02</t>
  </si>
  <si>
    <t>07UBAY_S01</t>
  </si>
  <si>
    <t>7CRA_S01</t>
  </si>
  <si>
    <t>7CRA_S02</t>
  </si>
  <si>
    <t>04PARAN_C01</t>
  </si>
  <si>
    <t>04BABAT_C01</t>
  </si>
  <si>
    <t>04BABAT_C02</t>
  </si>
  <si>
    <t>04ORMOC_C01</t>
  </si>
  <si>
    <t>04ORMOC_C02</t>
  </si>
  <si>
    <t>04MAASI_C01</t>
  </si>
  <si>
    <t>04TABAN_S01</t>
  </si>
  <si>
    <t>04TABAN_S02</t>
  </si>
  <si>
    <t>04TABAN_S03</t>
  </si>
  <si>
    <t>04TABAN_S04</t>
  </si>
  <si>
    <t>04MAASI_S01</t>
  </si>
  <si>
    <t>Run Time</t>
  </si>
  <si>
    <t>Market Type</t>
  </si>
  <si>
    <t>Time Interval</t>
  </si>
  <si>
    <t>Resource</t>
  </si>
  <si>
    <t>Resource Type</t>
  </si>
  <si>
    <t>Scheduled MW</t>
  </si>
  <si>
    <t>LMP</t>
  </si>
  <si>
    <t>Loss Factor</t>
  </si>
  <si>
    <t>LMP SMP</t>
  </si>
  <si>
    <t>LMP Loss</t>
  </si>
  <si>
    <t>LMP Congestion</t>
  </si>
  <si>
    <t>12/22/2025 10:00:00 AM</t>
  </si>
  <si>
    <t>RTD</t>
  </si>
  <si>
    <t>12/22/2025 10:05:00 AM</t>
  </si>
  <si>
    <t>CVIS</t>
  </si>
  <si>
    <t>04BABAT_SS</t>
  </si>
  <si>
    <t>NL</t>
  </si>
  <si>
    <t>04BABAT_T1L1</t>
  </si>
  <si>
    <t>04BAGLI_T1L1</t>
  </si>
  <si>
    <t>04BAGLI_T1L2</t>
  </si>
  <si>
    <t>04CLBYOG_L02</t>
  </si>
  <si>
    <t>04CLBYOG_SS</t>
  </si>
  <si>
    <t>04ISABE_SS</t>
  </si>
  <si>
    <t>04ISABE_T1L1</t>
  </si>
  <si>
    <t>04ISABE_T2L1</t>
  </si>
  <si>
    <t>04ISABE_T3L1</t>
  </si>
  <si>
    <t>04ISABE_T4L2</t>
  </si>
  <si>
    <t>04ISABE_T5L2</t>
  </si>
  <si>
    <t>04LEYTE_S01</t>
  </si>
  <si>
    <t>04MAASI_SS</t>
  </si>
  <si>
    <t>04MAASI_T1L1</t>
  </si>
  <si>
    <t>04MAASI_T2L2</t>
  </si>
  <si>
    <t>04ORMOC_BATL</t>
  </si>
  <si>
    <t>04ORMOC_SS</t>
  </si>
  <si>
    <t>04ORMOC_T2L1</t>
  </si>
  <si>
    <t>04ORMOC_T2L2</t>
  </si>
  <si>
    <t>04PARA_SS</t>
  </si>
  <si>
    <t>04SNAGU_L01</t>
  </si>
  <si>
    <t>04STAR_SS</t>
  </si>
  <si>
    <t>04TABAN_BATL</t>
  </si>
  <si>
    <t>04TABAN_SS</t>
  </si>
  <si>
    <t>04TABAN_T1L1</t>
  </si>
  <si>
    <t>04TONGO_BATL</t>
  </si>
  <si>
    <t>04TONGO_T2L2</t>
  </si>
  <si>
    <t>04VIS_002</t>
  </si>
  <si>
    <t>04WRIGH_T1L1</t>
  </si>
  <si>
    <t>04WRIGH_T2L2</t>
  </si>
  <si>
    <t>05BANIL_T1L1</t>
  </si>
  <si>
    <t>05BANIL_T1L2</t>
  </si>
  <si>
    <t>05BANIL_T1L3</t>
  </si>
  <si>
    <t>05CALUNG_CEP</t>
  </si>
  <si>
    <t>05CDPPI_SS1</t>
  </si>
  <si>
    <t>05CDPPI_SS2</t>
  </si>
  <si>
    <t>05CEBU_SS</t>
  </si>
  <si>
    <t>05CEDC_SS</t>
  </si>
  <si>
    <t>05CEMEX_L01</t>
  </si>
  <si>
    <t>05COLON_L01</t>
  </si>
  <si>
    <t>05COMPS_SS</t>
  </si>
  <si>
    <t>05COMPS_T1L1</t>
  </si>
  <si>
    <t>05COMPS_T2L2</t>
  </si>
  <si>
    <t>05DAANB_SS</t>
  </si>
  <si>
    <t>05DMAN_SS</t>
  </si>
  <si>
    <t>05DMA_L01</t>
  </si>
  <si>
    <t>05KSPC_SS1</t>
  </si>
  <si>
    <t>05KSPC_SS2</t>
  </si>
  <si>
    <t>05LAPU_SS</t>
  </si>
  <si>
    <t>05MCTAN_T1L1</t>
  </si>
  <si>
    <t>05MNDUE_SS</t>
  </si>
  <si>
    <t>05MNDUE_T1L1</t>
  </si>
  <si>
    <t>05MNDUE_T1L2</t>
  </si>
  <si>
    <t>05MNDUE_T1L4</t>
  </si>
  <si>
    <t>05MNDUE_T1L5</t>
  </si>
  <si>
    <t>05NAGA_T1L1</t>
  </si>
  <si>
    <t>05NAGA_T2L2</t>
  </si>
  <si>
    <t>05NAGLES_L01</t>
  </si>
  <si>
    <t>05NNAGVE_L01</t>
  </si>
  <si>
    <t>05NNAGVE_L02</t>
  </si>
  <si>
    <t>05QUIOT_T1L1</t>
  </si>
  <si>
    <t>05SAMB_L01</t>
  </si>
  <si>
    <t>05SAMB_L02</t>
  </si>
  <si>
    <t>05SAMB_SS</t>
  </si>
  <si>
    <t>05TALATR1_SS</t>
  </si>
  <si>
    <t>05TALAV_SS</t>
  </si>
  <si>
    <t>05TALAV_T1L1</t>
  </si>
  <si>
    <t>05TALIS_T1L1</t>
  </si>
  <si>
    <t>05THVI_SS1</t>
  </si>
  <si>
    <t>05THVI_SS2</t>
  </si>
  <si>
    <t>05TOLEDO_BATL</t>
  </si>
  <si>
    <t>05TOL_CARMEN</t>
  </si>
  <si>
    <t>05TPC_L01</t>
  </si>
  <si>
    <t>05TPC_S01</t>
  </si>
  <si>
    <t>05TPC_S02</t>
  </si>
  <si>
    <t>05VIS_02</t>
  </si>
  <si>
    <t>06AMLAN_SS</t>
  </si>
  <si>
    <t>06AMLAN_T1L1</t>
  </si>
  <si>
    <t>06AMLAN_T2L2</t>
  </si>
  <si>
    <t>06BACOL_SS</t>
  </si>
  <si>
    <t>06BACOL_T1L1</t>
  </si>
  <si>
    <t>06BACOL_T1L2</t>
  </si>
  <si>
    <t>06BACOL_T2L2</t>
  </si>
  <si>
    <t>06BACOL_T3L3</t>
  </si>
  <si>
    <t>06BBGPP_L01</t>
  </si>
  <si>
    <t>06BCLBAS_LD1</t>
  </si>
  <si>
    <t>06BCL_SS</t>
  </si>
  <si>
    <t>06CADIZL_SS</t>
  </si>
  <si>
    <t>06CADIZL_T1L1</t>
  </si>
  <si>
    <t>06CADIZL_T1L2</t>
  </si>
  <si>
    <t>06CADIZL_T1L3</t>
  </si>
  <si>
    <t>06CADIZL_T1L4</t>
  </si>
  <si>
    <t>06CAY_SS</t>
  </si>
  <si>
    <t>06CLTRAVA_SS</t>
  </si>
  <si>
    <t>06GAHIT_SS</t>
  </si>
  <si>
    <t>06HELIOS_S01</t>
  </si>
  <si>
    <t>06KABAN_BATL</t>
  </si>
  <si>
    <t>06KABAN_L01</t>
  </si>
  <si>
    <t>06KABAN_SS</t>
  </si>
  <si>
    <t>06KABAN_T1L1</t>
  </si>
  <si>
    <t>06KABAN_T2L2</t>
  </si>
  <si>
    <t>06MABIN_SS</t>
  </si>
  <si>
    <t>06MABIN_T1L1</t>
  </si>
  <si>
    <t>06MABIN_T2L2</t>
  </si>
  <si>
    <t>06PAL1A_SS</t>
  </si>
  <si>
    <t>06PGPP2_SS</t>
  </si>
  <si>
    <t>06SNCARLOS_SS</t>
  </si>
  <si>
    <t>06SONEG_BATL</t>
  </si>
  <si>
    <t>06VISTASOL_L01</t>
  </si>
  <si>
    <t>07BOHOL_T1L1</t>
  </si>
  <si>
    <t>07BOHOL_T4L4</t>
  </si>
  <si>
    <t>07COREL_T1L1</t>
  </si>
  <si>
    <t>07COREL_T1L2</t>
  </si>
  <si>
    <t>07COREL_T1L3</t>
  </si>
  <si>
    <t>07CRA_SS</t>
  </si>
  <si>
    <t>07UBAY_BATL</t>
  </si>
  <si>
    <t>07UBAY_T1L1</t>
  </si>
  <si>
    <t>07UBAY_T2L2</t>
  </si>
  <si>
    <t>07UBAY_T3L3</t>
  </si>
  <si>
    <t>08BANTAP_L01</t>
  </si>
  <si>
    <t>08BARO_SS</t>
  </si>
  <si>
    <t>08BARTAC_L01</t>
  </si>
  <si>
    <t>08BARTAC_SS</t>
  </si>
  <si>
    <t>08BVISTA_L01</t>
  </si>
  <si>
    <t>08BVISTA_L02</t>
  </si>
  <si>
    <t>08CONCP_T1L1</t>
  </si>
  <si>
    <t>08DINGL_SS</t>
  </si>
  <si>
    <t>08DINGL_T1L1</t>
  </si>
  <si>
    <t>08DINGL_T1L2</t>
  </si>
  <si>
    <t>08DINGL_T1L3</t>
  </si>
  <si>
    <t>08DINGL_T1L4</t>
  </si>
  <si>
    <t>08DINGL_T2L1</t>
  </si>
  <si>
    <t>08DINGL_T2L2</t>
  </si>
  <si>
    <t>08ILO_SS1</t>
  </si>
  <si>
    <t>08NABAS_L01</t>
  </si>
  <si>
    <t>08NABAS_L02</t>
  </si>
  <si>
    <t>08NABAS_L03</t>
  </si>
  <si>
    <t>08NABAS_SS</t>
  </si>
  <si>
    <t>08PALM_S01</t>
  </si>
  <si>
    <t>08PANIT_SS</t>
  </si>
  <si>
    <t>08PANIT_T1L1</t>
  </si>
  <si>
    <t>08PANIT_T2L2</t>
  </si>
  <si>
    <t>08PDPP3_S01</t>
  </si>
  <si>
    <t>08PEDC_SS1</t>
  </si>
  <si>
    <t>08PEDC_SS2</t>
  </si>
  <si>
    <t>08PEDC_SS3</t>
  </si>
  <si>
    <t>08PEDC_T1L1</t>
  </si>
  <si>
    <t>08PEDC_T1L2</t>
  </si>
  <si>
    <t>08SLWIND_L01</t>
  </si>
  <si>
    <t>08SNJOSE_L01</t>
  </si>
  <si>
    <t>08SNJOSE_L02</t>
  </si>
  <si>
    <t>08SNJOSE_L03</t>
  </si>
  <si>
    <t>08SNJOSE_SS</t>
  </si>
  <si>
    <t>08STBAR_SS1</t>
  </si>
  <si>
    <t>08STBAR_SS2</t>
  </si>
  <si>
    <t>08STBAR_SS3</t>
  </si>
  <si>
    <t>08STBAR_T1L1</t>
  </si>
  <si>
    <t>08STBAR_T2L2</t>
  </si>
  <si>
    <t>1/28/2026 23:00</t>
  </si>
  <si>
    <t>1/28/2026 23:05</t>
  </si>
  <si>
    <t>Region Name</t>
  </si>
  <si>
    <t>Zone Name</t>
  </si>
  <si>
    <t>Resource Name</t>
  </si>
  <si>
    <t>Start</t>
  </si>
  <si>
    <t>End</t>
  </si>
  <si>
    <t>MP Name</t>
  </si>
  <si>
    <t>PRICE1</t>
  </si>
  <si>
    <t>QUANTITY1</t>
  </si>
  <si>
    <t>PRICE2</t>
  </si>
  <si>
    <t>QUANTITY2</t>
  </si>
  <si>
    <t>PRICE3</t>
  </si>
  <si>
    <t>QUANTITY3</t>
  </si>
  <si>
    <t>PRICE4</t>
  </si>
  <si>
    <t>QUANTITY4</t>
  </si>
  <si>
    <t>PRICE5</t>
  </si>
  <si>
    <t>QUANTITY5</t>
  </si>
  <si>
    <t>PRICE6</t>
  </si>
  <si>
    <t>QUANTITY6</t>
  </si>
  <si>
    <t>PRICE7</t>
  </si>
  <si>
    <t>QUANTITY7</t>
  </si>
  <si>
    <t>PRICE8</t>
  </si>
  <si>
    <t>QUANTITY8</t>
  </si>
  <si>
    <t>PRICE9</t>
  </si>
  <si>
    <t>QUANTITY9</t>
  </si>
  <si>
    <t>PRICE10</t>
  </si>
  <si>
    <t>QUANTITY10</t>
  </si>
  <si>
    <t>PRICE11</t>
  </si>
  <si>
    <t>QUANTITY11</t>
  </si>
  <si>
    <t>RR_BREAK_QUANTITY1</t>
  </si>
  <si>
    <t>RR_UP1</t>
  </si>
  <si>
    <t>RR_DOWN1</t>
  </si>
  <si>
    <t>RR_BREAK_QUANTITY2</t>
  </si>
  <si>
    <t>RR_UP2</t>
  </si>
  <si>
    <t>RR_DOWN2</t>
  </si>
  <si>
    <t>RR_BREAK_QUANTITY3</t>
  </si>
  <si>
    <t>RR_UP3</t>
  </si>
  <si>
    <t>RR_DOWN3</t>
  </si>
  <si>
    <t>RR_BREAK_QUANTITY4</t>
  </si>
  <si>
    <t>RR_UP4</t>
  </si>
  <si>
    <t>RR_DOWN4</t>
  </si>
  <si>
    <t>RR_BREAK_QUANTITY5</t>
  </si>
  <si>
    <t>RR_UP5</t>
  </si>
  <si>
    <t>RR_DOWN5</t>
  </si>
  <si>
    <t>LEYTE</t>
  </si>
  <si>
    <t>04CLBYBNK_G01</t>
  </si>
  <si>
    <t>GTEC</t>
  </si>
  <si>
    <t>04IASMOD_G01</t>
  </si>
  <si>
    <t>IASCO</t>
  </si>
  <si>
    <t>04IASMOD_G02</t>
  </si>
  <si>
    <t>04IASMOD_G03</t>
  </si>
  <si>
    <t>04IASMOD_G04</t>
  </si>
  <si>
    <t>04IASMOD_G05</t>
  </si>
  <si>
    <t>04IASMOD_G06</t>
  </si>
  <si>
    <t>04ORMOC_BAT</t>
  </si>
  <si>
    <t>UPSI</t>
  </si>
  <si>
    <t>04TONGO_BAT</t>
  </si>
  <si>
    <t>EDC</t>
  </si>
  <si>
    <t>05CARMENDPP_U01</t>
  </si>
  <si>
    <t>TPC</t>
  </si>
  <si>
    <t>05CARMENDPP_U02</t>
  </si>
  <si>
    <t>05CEDC_U01</t>
  </si>
  <si>
    <t>CEBUEDC</t>
  </si>
  <si>
    <t>05CEDC_U02</t>
  </si>
  <si>
    <t>05CEDC_U03</t>
  </si>
  <si>
    <t>05CPPC_U01</t>
  </si>
  <si>
    <t>CPPC</t>
  </si>
  <si>
    <t>05CPPC_U02</t>
  </si>
  <si>
    <t>05CPPC_U03</t>
  </si>
  <si>
    <t>05CPPC_U04</t>
  </si>
  <si>
    <t>05CPPC_U05</t>
  </si>
  <si>
    <t>05CPPC_U06</t>
  </si>
  <si>
    <t>05CPPC_U07</t>
  </si>
  <si>
    <t>05CPPC_U08</t>
  </si>
  <si>
    <t>05CPPC_U09</t>
  </si>
  <si>
    <t>05CPPC_U10</t>
  </si>
  <si>
    <t>05EAUC_U02</t>
  </si>
  <si>
    <t>EAUC</t>
  </si>
  <si>
    <t>05EAUC_U03</t>
  </si>
  <si>
    <t>05EAUC_U04</t>
  </si>
  <si>
    <t>05KSPC_G01</t>
  </si>
  <si>
    <t>05KSPC_G02</t>
  </si>
  <si>
    <t>05THVI_U01</t>
  </si>
  <si>
    <t>TVI</t>
  </si>
  <si>
    <t>05THVI_U02</t>
  </si>
  <si>
    <t>05TOLEDO_BAT</t>
  </si>
  <si>
    <t>05TPC_G02</t>
  </si>
  <si>
    <t>06CENPRI_U01</t>
  </si>
  <si>
    <t>CENPRI</t>
  </si>
  <si>
    <t>06CENPRI_U02</t>
  </si>
  <si>
    <t>06CENPRI_U03</t>
  </si>
  <si>
    <t>06CENPRI_U04</t>
  </si>
  <si>
    <t>06CENPRI_U05</t>
  </si>
  <si>
    <t>06KABAN_BAT</t>
  </si>
  <si>
    <t>SPESCL</t>
  </si>
  <si>
    <t>06PAL1A_U01</t>
  </si>
  <si>
    <t>GCGI</t>
  </si>
  <si>
    <t>06PAL1A_U02</t>
  </si>
  <si>
    <t>06PAL1A_U03</t>
  </si>
  <si>
    <t>06PAL2A_U01</t>
  </si>
  <si>
    <t>06PAL2A_U02</t>
  </si>
  <si>
    <t>06PAL2A_U03</t>
  </si>
  <si>
    <t>06SONEG_BAT</t>
  </si>
  <si>
    <t>07BDPP_U01</t>
  </si>
  <si>
    <t>SIPC</t>
  </si>
  <si>
    <t>07BDPP_U02</t>
  </si>
  <si>
    <t>07BDPP_U03</t>
  </si>
  <si>
    <t>07BDPP_U04</t>
  </si>
  <si>
    <t>07BIDPP_G01</t>
  </si>
  <si>
    <t>MPC</t>
  </si>
  <si>
    <t>07TPLPB4_U01</t>
  </si>
  <si>
    <t>SPCPOWER</t>
  </si>
  <si>
    <t>07TPLPB4_U02</t>
  </si>
  <si>
    <t>07TPLPB4_U03</t>
  </si>
  <si>
    <t>07TPLPB4_U04</t>
  </si>
  <si>
    <t>07UBAY_BAT</t>
  </si>
  <si>
    <t>08NABASDPP_U01</t>
  </si>
  <si>
    <t>PPC</t>
  </si>
  <si>
    <t>08NABASDPP_U02</t>
  </si>
  <si>
    <t>08PALM_G01</t>
  </si>
  <si>
    <t>PCPC</t>
  </si>
  <si>
    <t>08PDPP1_U03</t>
  </si>
  <si>
    <t>08PDPP1_U05</t>
  </si>
  <si>
    <t>08PDPP3_C</t>
  </si>
  <si>
    <t>08PDPP3_E</t>
  </si>
  <si>
    <t>08PDPP3_G</t>
  </si>
  <si>
    <t>08PDPP3_H</t>
  </si>
  <si>
    <t>08PEDC_U01</t>
  </si>
  <si>
    <t>PEDC</t>
  </si>
  <si>
    <t>08PEDC_U02</t>
  </si>
  <si>
    <t>08PEDC_U03</t>
  </si>
  <si>
    <t>08STBPB1_U01</t>
  </si>
  <si>
    <t>MPBI</t>
  </si>
  <si>
    <t>08STBPB1_U02</t>
  </si>
  <si>
    <t>08STBPB1_U03</t>
  </si>
  <si>
    <t>08STBPB1_U04</t>
  </si>
  <si>
    <t>05CARMENDPP_U03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</si>
</sst>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2" numFmtId="49" xfId="0" applyAlignment="1" applyFont="1" applyNumberFormat="1">
      <alignment shrinkToFit="0" wrapText="1"/>
    </xf>
    <xf borderId="0" fillId="0" fontId="2" numFmtId="49" xfId="0" applyFont="1" applyNumberFormat="1"/>
    <xf borderId="0" fillId="0" fontId="2" numFmtId="0" xfId="0" applyAlignment="1" applyFont="1">
      <alignment horizontal="right"/>
    </xf>
    <xf borderId="0" fillId="0" fontId="2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right"/>
    </xf>
    <xf borderId="0" fillId="0" fontId="2" numFmtId="49" xfId="0" applyAlignment="1" applyFont="1" applyNumberFormat="1">
      <alignment vertical="center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right" readingOrder="0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Font="1"/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right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 vertical="center"/>
    </xf>
    <xf borderId="0" fillId="0" fontId="4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5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3" numFmtId="22" xfId="0" applyFont="1" applyNumberFormat="1"/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15.0"/>
    <col customWidth="1" min="3" max="3" width="14.71"/>
    <col customWidth="1" min="4" max="4" width="15.0"/>
    <col customWidth="1" min="5" max="5" width="12.29"/>
    <col customWidth="1" min="6" max="6" width="15.43"/>
    <col customWidth="1" min="7" max="7" width="11.14"/>
    <col customWidth="1" min="8" max="8" width="38.71"/>
    <col customWidth="1" min="9" max="10" width="8.86"/>
  </cols>
  <sheetData>
    <row r="1" ht="14.25" customHeight="1">
      <c r="A1" s="1" t="s">
        <v>0</v>
      </c>
      <c r="D1" s="1" t="s">
        <v>1</v>
      </c>
      <c r="G1" s="1" t="s">
        <v>2</v>
      </c>
      <c r="H1" s="1" t="s">
        <v>3</v>
      </c>
    </row>
    <row r="2" ht="14.25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H2" s="1" t="s">
        <v>10</v>
      </c>
      <c r="I2" s="1" t="s">
        <v>11</v>
      </c>
      <c r="J2" s="1" t="s">
        <v>12</v>
      </c>
    </row>
    <row r="3" ht="14.25" customHeight="1">
      <c r="A3" s="2" t="s">
        <v>13</v>
      </c>
    </row>
    <row r="4" ht="14.25" customHeight="1">
      <c r="A4" s="3" t="s">
        <v>14</v>
      </c>
      <c r="B4" s="4" t="s">
        <v>15</v>
      </c>
      <c r="C4" s="4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6" t="s">
        <v>21</v>
      </c>
      <c r="I4" s="6" t="s">
        <v>22</v>
      </c>
      <c r="J4" s="7" t="s">
        <v>23</v>
      </c>
    </row>
    <row r="5" ht="14.25" customHeight="1">
      <c r="A5" s="3" t="s">
        <v>24</v>
      </c>
      <c r="B5" s="4" t="s">
        <v>25</v>
      </c>
      <c r="C5" s="4" t="s">
        <v>26</v>
      </c>
      <c r="D5" s="5" t="s">
        <v>27</v>
      </c>
      <c r="E5" s="5" t="s">
        <v>27</v>
      </c>
      <c r="F5" s="5" t="s">
        <v>28</v>
      </c>
      <c r="G5" s="5" t="s">
        <v>20</v>
      </c>
      <c r="H5" s="6" t="s">
        <v>29</v>
      </c>
      <c r="I5" s="6" t="s">
        <v>22</v>
      </c>
      <c r="J5" s="7" t="s">
        <v>23</v>
      </c>
    </row>
    <row r="6" ht="14.25" customHeight="1">
      <c r="A6" s="3" t="s">
        <v>30</v>
      </c>
      <c r="B6" s="4" t="s">
        <v>31</v>
      </c>
      <c r="C6" s="4" t="s">
        <v>26</v>
      </c>
      <c r="D6" s="5" t="s">
        <v>27</v>
      </c>
      <c r="E6" s="5" t="s">
        <v>27</v>
      </c>
      <c r="F6" s="5" t="s">
        <v>28</v>
      </c>
      <c r="G6" s="5" t="s">
        <v>20</v>
      </c>
      <c r="H6" s="6" t="s">
        <v>29</v>
      </c>
      <c r="I6" s="6" t="s">
        <v>22</v>
      </c>
      <c r="J6" s="7" t="s">
        <v>23</v>
      </c>
    </row>
    <row r="7" ht="14.25" customHeight="1">
      <c r="A7" s="3" t="s">
        <v>32</v>
      </c>
      <c r="B7" s="4" t="s">
        <v>33</v>
      </c>
      <c r="C7" s="4" t="s">
        <v>26</v>
      </c>
      <c r="D7" s="5" t="s">
        <v>34</v>
      </c>
      <c r="E7" s="5" t="s">
        <v>34</v>
      </c>
      <c r="F7" s="5" t="s">
        <v>34</v>
      </c>
      <c r="G7" s="5" t="s">
        <v>20</v>
      </c>
      <c r="H7" s="6" t="s">
        <v>29</v>
      </c>
      <c r="I7" s="6" t="s">
        <v>22</v>
      </c>
      <c r="J7" s="7" t="s">
        <v>23</v>
      </c>
    </row>
    <row r="8" ht="14.25" customHeight="1">
      <c r="A8" s="3" t="s">
        <v>35</v>
      </c>
      <c r="B8" s="4" t="s">
        <v>36</v>
      </c>
      <c r="C8" s="4" t="s">
        <v>26</v>
      </c>
      <c r="D8" s="5" t="s">
        <v>37</v>
      </c>
      <c r="E8" s="5" t="s">
        <v>37</v>
      </c>
      <c r="F8" s="5" t="s">
        <v>38</v>
      </c>
      <c r="G8" s="5" t="s">
        <v>20</v>
      </c>
      <c r="H8" s="6" t="s">
        <v>39</v>
      </c>
      <c r="I8" s="6" t="s">
        <v>22</v>
      </c>
      <c r="J8" s="7" t="s">
        <v>23</v>
      </c>
    </row>
    <row r="9" ht="14.25" customHeight="1">
      <c r="A9" s="3" t="s">
        <v>40</v>
      </c>
      <c r="B9" s="4" t="s">
        <v>41</v>
      </c>
      <c r="C9" s="4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6" t="s">
        <v>47</v>
      </c>
      <c r="I9" s="6" t="s">
        <v>48</v>
      </c>
      <c r="J9" s="7" t="s">
        <v>23</v>
      </c>
    </row>
    <row r="10" ht="14.25" customHeight="1">
      <c r="A10" s="3" t="s">
        <v>49</v>
      </c>
      <c r="B10" s="4" t="s">
        <v>50</v>
      </c>
      <c r="C10" s="4" t="s">
        <v>42</v>
      </c>
      <c r="D10" s="8" t="s">
        <v>51</v>
      </c>
      <c r="E10" s="8" t="s">
        <v>52</v>
      </c>
      <c r="F10" s="8" t="s">
        <v>18</v>
      </c>
      <c r="G10" s="8" t="s">
        <v>53</v>
      </c>
      <c r="H10" s="6" t="s">
        <v>54</v>
      </c>
      <c r="I10" s="6" t="s">
        <v>55</v>
      </c>
      <c r="J10" s="7" t="s">
        <v>23</v>
      </c>
    </row>
    <row r="11" ht="14.25" customHeight="1">
      <c r="A11" s="3" t="s">
        <v>56</v>
      </c>
      <c r="B11" s="4" t="s">
        <v>57</v>
      </c>
      <c r="C11" s="4" t="s">
        <v>42</v>
      </c>
      <c r="D11" s="8" t="s">
        <v>58</v>
      </c>
      <c r="E11" s="8" t="s">
        <v>59</v>
      </c>
      <c r="F11" s="8" t="s">
        <v>60</v>
      </c>
      <c r="G11" s="8" t="s">
        <v>61</v>
      </c>
      <c r="H11" s="6" t="s">
        <v>54</v>
      </c>
      <c r="I11" s="6" t="s">
        <v>55</v>
      </c>
      <c r="J11" s="7" t="s">
        <v>23</v>
      </c>
    </row>
    <row r="12" ht="14.25" customHeight="1">
      <c r="A12" s="3" t="s">
        <v>62</v>
      </c>
      <c r="B12" s="9" t="s">
        <v>63</v>
      </c>
      <c r="C12" s="9" t="s">
        <v>42</v>
      </c>
      <c r="D12" s="8" t="s">
        <v>64</v>
      </c>
      <c r="E12" s="8" t="s">
        <v>65</v>
      </c>
      <c r="F12" s="8" t="s">
        <v>66</v>
      </c>
      <c r="G12" s="8" t="s">
        <v>67</v>
      </c>
      <c r="H12" s="6" t="s">
        <v>68</v>
      </c>
      <c r="I12" s="6" t="s">
        <v>22</v>
      </c>
      <c r="J12" s="7" t="s">
        <v>23</v>
      </c>
    </row>
    <row r="13" ht="14.25" customHeight="1">
      <c r="A13" s="3" t="s">
        <v>69</v>
      </c>
      <c r="B13" s="4" t="s">
        <v>70</v>
      </c>
      <c r="C13" s="4" t="s">
        <v>71</v>
      </c>
      <c r="D13" s="8" t="s">
        <v>72</v>
      </c>
      <c r="E13" s="8" t="s">
        <v>73</v>
      </c>
      <c r="F13" s="8" t="s">
        <v>73</v>
      </c>
      <c r="G13" s="8" t="s">
        <v>53</v>
      </c>
      <c r="H13" s="6" t="s">
        <v>74</v>
      </c>
      <c r="I13" s="6" t="s">
        <v>75</v>
      </c>
      <c r="J13" s="7" t="s">
        <v>23</v>
      </c>
    </row>
    <row r="14" ht="14.25" customHeight="1">
      <c r="A14" s="3" t="s">
        <v>76</v>
      </c>
      <c r="B14" s="4" t="s">
        <v>77</v>
      </c>
      <c r="C14" s="4" t="s">
        <v>71</v>
      </c>
      <c r="D14" s="8" t="s">
        <v>78</v>
      </c>
      <c r="E14" s="8" t="s">
        <v>78</v>
      </c>
      <c r="F14" s="8" t="s">
        <v>79</v>
      </c>
      <c r="G14" s="8" t="s">
        <v>53</v>
      </c>
      <c r="H14" s="10" t="s">
        <v>80</v>
      </c>
      <c r="I14" s="6" t="s">
        <v>81</v>
      </c>
      <c r="J14" s="7" t="s">
        <v>23</v>
      </c>
    </row>
    <row r="15" ht="14.25" customHeight="1">
      <c r="A15" s="3" t="s">
        <v>82</v>
      </c>
      <c r="B15" s="4" t="s">
        <v>83</v>
      </c>
      <c r="C15" s="4" t="s">
        <v>84</v>
      </c>
      <c r="D15" s="8" t="s">
        <v>85</v>
      </c>
      <c r="E15" s="8" t="s">
        <v>85</v>
      </c>
      <c r="F15" s="8" t="s">
        <v>86</v>
      </c>
      <c r="G15" s="11" t="s">
        <v>20</v>
      </c>
      <c r="H15" s="6" t="s">
        <v>87</v>
      </c>
      <c r="I15" s="6" t="s">
        <v>88</v>
      </c>
      <c r="J15" s="7" t="s">
        <v>23</v>
      </c>
    </row>
    <row r="16" ht="14.25" customHeight="1">
      <c r="A16" s="3" t="s">
        <v>89</v>
      </c>
      <c r="B16" s="4" t="s">
        <v>90</v>
      </c>
      <c r="C16" s="4" t="s">
        <v>91</v>
      </c>
      <c r="D16" s="8" t="s">
        <v>92</v>
      </c>
      <c r="E16" s="8" t="s">
        <v>93</v>
      </c>
      <c r="F16" s="8" t="s">
        <v>94</v>
      </c>
      <c r="G16" s="11" t="s">
        <v>46</v>
      </c>
      <c r="H16" s="6" t="s">
        <v>95</v>
      </c>
      <c r="I16" s="6" t="s">
        <v>48</v>
      </c>
      <c r="J16" s="7" t="s">
        <v>23</v>
      </c>
    </row>
    <row r="17" ht="14.25" customHeight="1">
      <c r="A17" s="3" t="s">
        <v>96</v>
      </c>
      <c r="B17" s="4" t="s">
        <v>97</v>
      </c>
      <c r="C17" s="4" t="s">
        <v>91</v>
      </c>
      <c r="D17" s="8" t="s">
        <v>98</v>
      </c>
      <c r="E17" s="8" t="s">
        <v>99</v>
      </c>
      <c r="F17" s="8" t="s">
        <v>99</v>
      </c>
      <c r="G17" s="11" t="s">
        <v>20</v>
      </c>
      <c r="H17" s="6" t="s">
        <v>100</v>
      </c>
      <c r="I17" s="6" t="s">
        <v>101</v>
      </c>
      <c r="J17" s="7" t="s">
        <v>23</v>
      </c>
    </row>
    <row r="18" ht="14.25" customHeight="1">
      <c r="A18" s="2" t="s">
        <v>102</v>
      </c>
    </row>
    <row r="19" ht="14.25" customHeight="1">
      <c r="A19" s="12" t="s">
        <v>103</v>
      </c>
      <c r="B19" s="4" t="s">
        <v>104</v>
      </c>
      <c r="C19" s="4" t="s">
        <v>105</v>
      </c>
      <c r="D19" s="8" t="s">
        <v>106</v>
      </c>
      <c r="E19" s="8" t="s">
        <v>107</v>
      </c>
      <c r="F19" s="8" t="s">
        <v>106</v>
      </c>
      <c r="G19" s="8" t="s">
        <v>53</v>
      </c>
      <c r="H19" s="7" t="s">
        <v>108</v>
      </c>
      <c r="I19" s="7" t="s">
        <v>109</v>
      </c>
      <c r="J19" s="7" t="s">
        <v>110</v>
      </c>
    </row>
    <row r="20" ht="14.25" customHeight="1">
      <c r="A20" s="12" t="s">
        <v>111</v>
      </c>
      <c r="B20" s="4" t="s">
        <v>112</v>
      </c>
      <c r="C20" s="4" t="s">
        <v>105</v>
      </c>
      <c r="D20" s="8" t="s">
        <v>113</v>
      </c>
      <c r="E20" s="8" t="s">
        <v>114</v>
      </c>
      <c r="F20" s="8" t="s">
        <v>113</v>
      </c>
      <c r="G20" s="11" t="s">
        <v>20</v>
      </c>
      <c r="H20" s="7" t="s">
        <v>115</v>
      </c>
      <c r="I20" s="7" t="s">
        <v>116</v>
      </c>
      <c r="J20" s="7" t="s">
        <v>110</v>
      </c>
    </row>
    <row r="21" ht="14.25" customHeight="1">
      <c r="A21" s="12" t="s">
        <v>117</v>
      </c>
      <c r="B21" s="4" t="s">
        <v>118</v>
      </c>
      <c r="C21" s="4" t="s">
        <v>16</v>
      </c>
      <c r="D21" s="8" t="s">
        <v>119</v>
      </c>
      <c r="E21" s="8" t="s">
        <v>120</v>
      </c>
      <c r="F21" s="8" t="s">
        <v>119</v>
      </c>
      <c r="G21" s="8" t="s">
        <v>46</v>
      </c>
      <c r="H21" s="7" t="s">
        <v>121</v>
      </c>
      <c r="I21" s="7" t="s">
        <v>122</v>
      </c>
      <c r="J21" s="7" t="s">
        <v>110</v>
      </c>
    </row>
    <row r="22" ht="14.25" customHeight="1">
      <c r="A22" s="12" t="s">
        <v>123</v>
      </c>
      <c r="B22" s="4" t="s">
        <v>124</v>
      </c>
      <c r="C22" s="4" t="s">
        <v>16</v>
      </c>
      <c r="D22" s="8" t="s">
        <v>125</v>
      </c>
      <c r="E22" s="8" t="s">
        <v>126</v>
      </c>
      <c r="F22" s="8" t="s">
        <v>127</v>
      </c>
      <c r="G22" s="8" t="s">
        <v>20</v>
      </c>
      <c r="H22" s="7" t="s">
        <v>128</v>
      </c>
      <c r="I22" s="7" t="s">
        <v>129</v>
      </c>
      <c r="J22" s="7" t="s">
        <v>110</v>
      </c>
    </row>
    <row r="23" ht="14.25" customHeight="1">
      <c r="A23" s="12" t="s">
        <v>130</v>
      </c>
      <c r="B23" s="4" t="s">
        <v>131</v>
      </c>
      <c r="C23" s="4" t="s">
        <v>16</v>
      </c>
      <c r="D23" s="8" t="s">
        <v>132</v>
      </c>
      <c r="E23" s="8" t="s">
        <v>133</v>
      </c>
      <c r="F23" s="8" t="s">
        <v>134</v>
      </c>
      <c r="G23" s="8" t="s">
        <v>20</v>
      </c>
      <c r="H23" s="7" t="s">
        <v>135</v>
      </c>
      <c r="I23" s="10" t="s">
        <v>136</v>
      </c>
      <c r="J23" s="7" t="s">
        <v>110</v>
      </c>
    </row>
    <row r="24" ht="14.25" customHeight="1">
      <c r="A24" s="12" t="s">
        <v>137</v>
      </c>
      <c r="B24" s="4" t="s">
        <v>138</v>
      </c>
      <c r="C24" s="4" t="s">
        <v>16</v>
      </c>
      <c r="D24" s="8" t="s">
        <v>139</v>
      </c>
      <c r="E24" s="8" t="s">
        <v>140</v>
      </c>
      <c r="F24" s="8" t="s">
        <v>141</v>
      </c>
      <c r="G24" s="8" t="s">
        <v>20</v>
      </c>
      <c r="H24" s="7" t="s">
        <v>142</v>
      </c>
      <c r="I24" s="7" t="s">
        <v>143</v>
      </c>
      <c r="J24" s="7" t="s">
        <v>110</v>
      </c>
    </row>
    <row r="25" ht="14.25" customHeight="1">
      <c r="A25" s="12" t="s">
        <v>144</v>
      </c>
      <c r="B25" s="4" t="s">
        <v>145</v>
      </c>
      <c r="C25" s="4" t="s">
        <v>16</v>
      </c>
      <c r="D25" s="8" t="s">
        <v>146</v>
      </c>
      <c r="E25" s="8" t="s">
        <v>147</v>
      </c>
      <c r="F25" s="8" t="s">
        <v>148</v>
      </c>
      <c r="G25" s="8" t="s">
        <v>20</v>
      </c>
      <c r="H25" s="7" t="s">
        <v>149</v>
      </c>
      <c r="I25" s="7" t="s">
        <v>143</v>
      </c>
      <c r="J25" s="7" t="s">
        <v>110</v>
      </c>
    </row>
    <row r="26" ht="14.25" customHeight="1">
      <c r="A26" s="12" t="s">
        <v>150</v>
      </c>
      <c r="B26" s="4" t="s">
        <v>151</v>
      </c>
      <c r="C26" s="4" t="s">
        <v>16</v>
      </c>
      <c r="D26" s="8" t="s">
        <v>120</v>
      </c>
      <c r="E26" s="8" t="s">
        <v>120</v>
      </c>
      <c r="F26" s="8" t="s">
        <v>152</v>
      </c>
      <c r="G26" s="8" t="s">
        <v>20</v>
      </c>
      <c r="H26" s="7" t="s">
        <v>153</v>
      </c>
      <c r="I26" s="7" t="s">
        <v>154</v>
      </c>
      <c r="J26" s="7" t="s">
        <v>110</v>
      </c>
    </row>
    <row r="27" ht="14.25" customHeight="1">
      <c r="A27" s="12" t="s">
        <v>155</v>
      </c>
      <c r="B27" s="4" t="s">
        <v>156</v>
      </c>
      <c r="C27" s="4" t="s">
        <v>16</v>
      </c>
      <c r="D27" s="8" t="s">
        <v>120</v>
      </c>
      <c r="E27" s="8" t="s">
        <v>120</v>
      </c>
      <c r="F27" s="8" t="s">
        <v>152</v>
      </c>
      <c r="G27" s="8" t="s">
        <v>20</v>
      </c>
      <c r="H27" s="7" t="s">
        <v>157</v>
      </c>
      <c r="I27" s="7" t="s">
        <v>158</v>
      </c>
      <c r="J27" s="7" t="s">
        <v>110</v>
      </c>
    </row>
    <row r="28" ht="14.25" customHeight="1">
      <c r="A28" s="12" t="s">
        <v>159</v>
      </c>
      <c r="B28" s="4" t="s">
        <v>160</v>
      </c>
      <c r="C28" s="4" t="s">
        <v>16</v>
      </c>
      <c r="D28" s="8" t="s">
        <v>161</v>
      </c>
      <c r="E28" s="8" t="s">
        <v>162</v>
      </c>
      <c r="F28" s="8" t="s">
        <v>147</v>
      </c>
      <c r="G28" s="8" t="s">
        <v>46</v>
      </c>
      <c r="H28" s="7" t="s">
        <v>163</v>
      </c>
      <c r="I28" s="7" t="s">
        <v>109</v>
      </c>
      <c r="J28" s="7" t="s">
        <v>110</v>
      </c>
    </row>
    <row r="29" ht="14.25" customHeight="1">
      <c r="A29" s="12" t="s">
        <v>164</v>
      </c>
      <c r="B29" s="4" t="s">
        <v>165</v>
      </c>
      <c r="C29" s="4" t="s">
        <v>16</v>
      </c>
      <c r="D29" s="8" t="s">
        <v>166</v>
      </c>
      <c r="E29" s="8" t="s">
        <v>167</v>
      </c>
      <c r="F29" s="8" t="s">
        <v>166</v>
      </c>
      <c r="G29" s="8" t="s">
        <v>67</v>
      </c>
      <c r="H29" s="7" t="s">
        <v>168</v>
      </c>
      <c r="I29" s="7" t="s">
        <v>169</v>
      </c>
      <c r="J29" s="7" t="s">
        <v>110</v>
      </c>
    </row>
    <row r="30" ht="14.25" customHeight="1">
      <c r="A30" s="12" t="s">
        <v>170</v>
      </c>
      <c r="B30" s="4" t="s">
        <v>171</v>
      </c>
      <c r="C30" s="4" t="s">
        <v>16</v>
      </c>
      <c r="D30" s="8" t="s">
        <v>172</v>
      </c>
      <c r="E30" s="8" t="s">
        <v>173</v>
      </c>
      <c r="F30" s="8" t="s">
        <v>173</v>
      </c>
      <c r="G30" s="8" t="s">
        <v>20</v>
      </c>
      <c r="H30" s="7" t="s">
        <v>174</v>
      </c>
      <c r="I30" s="7" t="s">
        <v>169</v>
      </c>
      <c r="J30" s="7" t="s">
        <v>110</v>
      </c>
    </row>
    <row r="31" ht="14.25" customHeight="1">
      <c r="A31" s="12" t="s">
        <v>175</v>
      </c>
      <c r="B31" s="4" t="s">
        <v>176</v>
      </c>
      <c r="C31" s="4" t="s">
        <v>16</v>
      </c>
      <c r="D31" s="8" t="s">
        <v>177</v>
      </c>
      <c r="E31" s="8" t="s">
        <v>178</v>
      </c>
      <c r="F31" s="8" t="s">
        <v>179</v>
      </c>
      <c r="G31" s="8" t="s">
        <v>67</v>
      </c>
      <c r="H31" s="7" t="s">
        <v>180</v>
      </c>
      <c r="I31" s="7" t="s">
        <v>181</v>
      </c>
      <c r="J31" s="7" t="s">
        <v>110</v>
      </c>
    </row>
    <row r="32" ht="14.25" customHeight="1">
      <c r="A32" s="12" t="s">
        <v>182</v>
      </c>
      <c r="B32" s="4" t="s">
        <v>183</v>
      </c>
      <c r="C32" s="4" t="s">
        <v>42</v>
      </c>
      <c r="D32" s="8" t="s">
        <v>184</v>
      </c>
      <c r="E32" s="8" t="s">
        <v>185</v>
      </c>
      <c r="F32" s="8" t="s">
        <v>186</v>
      </c>
      <c r="G32" s="8" t="s">
        <v>61</v>
      </c>
      <c r="H32" s="7" t="s">
        <v>187</v>
      </c>
      <c r="I32" s="7" t="s">
        <v>188</v>
      </c>
      <c r="J32" s="7" t="s">
        <v>110</v>
      </c>
    </row>
    <row r="33" ht="14.25" customHeight="1">
      <c r="A33" s="12" t="s">
        <v>189</v>
      </c>
      <c r="B33" s="4" t="s">
        <v>190</v>
      </c>
      <c r="C33" s="4" t="s">
        <v>191</v>
      </c>
      <c r="D33" s="8" t="s">
        <v>192</v>
      </c>
      <c r="E33" s="8" t="s">
        <v>193</v>
      </c>
      <c r="F33" s="8" t="s">
        <v>192</v>
      </c>
      <c r="G33" s="8" t="s">
        <v>20</v>
      </c>
      <c r="H33" s="7" t="s">
        <v>194</v>
      </c>
      <c r="I33" s="7" t="s">
        <v>116</v>
      </c>
      <c r="J33" s="7" t="s">
        <v>110</v>
      </c>
    </row>
    <row r="34" ht="14.25" customHeight="1">
      <c r="A34" s="12" t="s">
        <v>195</v>
      </c>
      <c r="B34" s="4" t="s">
        <v>196</v>
      </c>
      <c r="C34" s="4" t="s">
        <v>191</v>
      </c>
      <c r="D34" s="8" t="s">
        <v>197</v>
      </c>
      <c r="E34" s="8" t="s">
        <v>198</v>
      </c>
      <c r="F34" s="8" t="s">
        <v>199</v>
      </c>
      <c r="G34" s="8" t="s">
        <v>23</v>
      </c>
      <c r="H34" s="7" t="s">
        <v>194</v>
      </c>
      <c r="I34" s="7" t="s">
        <v>116</v>
      </c>
      <c r="J34" s="7" t="s">
        <v>110</v>
      </c>
    </row>
    <row r="35" ht="14.25" customHeight="1">
      <c r="A35" s="12" t="s">
        <v>200</v>
      </c>
      <c r="B35" s="4" t="s">
        <v>201</v>
      </c>
      <c r="C35" s="4" t="s">
        <v>71</v>
      </c>
      <c r="D35" s="8" t="s">
        <v>202</v>
      </c>
      <c r="E35" s="8" t="s">
        <v>203</v>
      </c>
      <c r="F35" s="8" t="s">
        <v>203</v>
      </c>
      <c r="G35" s="8" t="s">
        <v>53</v>
      </c>
      <c r="H35" s="7" t="s">
        <v>204</v>
      </c>
      <c r="I35" s="7" t="s">
        <v>205</v>
      </c>
      <c r="J35" s="7" t="s">
        <v>110</v>
      </c>
    </row>
    <row r="36" ht="14.25" customHeight="1">
      <c r="A36" s="12" t="s">
        <v>206</v>
      </c>
      <c r="B36" s="4" t="s">
        <v>207</v>
      </c>
      <c r="C36" s="4" t="s">
        <v>84</v>
      </c>
      <c r="D36" s="8" t="s">
        <v>208</v>
      </c>
      <c r="E36" s="8" t="s">
        <v>209</v>
      </c>
      <c r="F36" s="8" t="s">
        <v>208</v>
      </c>
      <c r="G36" s="11" t="s">
        <v>20</v>
      </c>
      <c r="H36" s="7" t="s">
        <v>210</v>
      </c>
      <c r="I36" s="7" t="s">
        <v>211</v>
      </c>
      <c r="J36" s="7" t="s">
        <v>110</v>
      </c>
    </row>
    <row r="37" ht="14.25" customHeight="1">
      <c r="A37" s="12" t="s">
        <v>212</v>
      </c>
      <c r="B37" s="4" t="s">
        <v>213</v>
      </c>
      <c r="C37" s="4" t="s">
        <v>84</v>
      </c>
      <c r="D37" s="8" t="s">
        <v>214</v>
      </c>
      <c r="E37" s="8" t="s">
        <v>65</v>
      </c>
      <c r="F37" s="8" t="s">
        <v>215</v>
      </c>
      <c r="G37" s="11" t="s">
        <v>20</v>
      </c>
      <c r="H37" s="7" t="s">
        <v>153</v>
      </c>
      <c r="I37" s="7" t="s">
        <v>154</v>
      </c>
      <c r="J37" s="7" t="s">
        <v>110</v>
      </c>
    </row>
    <row r="38" ht="14.25" customHeight="1">
      <c r="A38" s="12" t="s">
        <v>216</v>
      </c>
      <c r="B38" s="4" t="s">
        <v>217</v>
      </c>
      <c r="C38" s="4" t="s">
        <v>84</v>
      </c>
      <c r="D38" s="8" t="s">
        <v>218</v>
      </c>
      <c r="E38" s="8" t="s">
        <v>219</v>
      </c>
      <c r="F38" s="8" t="s">
        <v>218</v>
      </c>
      <c r="G38" s="11" t="s">
        <v>20</v>
      </c>
      <c r="H38" s="7" t="s">
        <v>157</v>
      </c>
      <c r="I38" s="7" t="s">
        <v>158</v>
      </c>
      <c r="J38" s="7" t="s">
        <v>110</v>
      </c>
    </row>
    <row r="39" ht="14.25" customHeight="1">
      <c r="A39" s="12" t="s">
        <v>220</v>
      </c>
      <c r="B39" s="4" t="s">
        <v>221</v>
      </c>
      <c r="C39" s="4" t="s">
        <v>84</v>
      </c>
      <c r="D39" s="8" t="s">
        <v>114</v>
      </c>
      <c r="E39" s="8" t="s">
        <v>148</v>
      </c>
      <c r="F39" s="8" t="s">
        <v>222</v>
      </c>
      <c r="G39" s="11" t="s">
        <v>20</v>
      </c>
      <c r="H39" s="7" t="s">
        <v>223</v>
      </c>
      <c r="I39" s="7" t="s">
        <v>122</v>
      </c>
      <c r="J39" s="7" t="s">
        <v>110</v>
      </c>
    </row>
    <row r="40" ht="14.25" customHeight="1">
      <c r="A40" s="12" t="s">
        <v>224</v>
      </c>
      <c r="B40" s="4" t="s">
        <v>225</v>
      </c>
      <c r="C40" s="4" t="s">
        <v>84</v>
      </c>
      <c r="D40" s="8" t="s">
        <v>146</v>
      </c>
      <c r="E40" s="8" t="s">
        <v>226</v>
      </c>
      <c r="F40" s="8" t="s">
        <v>227</v>
      </c>
      <c r="G40" s="11" t="s">
        <v>20</v>
      </c>
      <c r="H40" s="7" t="s">
        <v>228</v>
      </c>
      <c r="I40" s="7" t="s">
        <v>229</v>
      </c>
      <c r="J40" s="7" t="s">
        <v>110</v>
      </c>
    </row>
    <row r="41" ht="14.25" customHeight="1">
      <c r="A41" s="12" t="s">
        <v>230</v>
      </c>
      <c r="B41" s="4" t="s">
        <v>231</v>
      </c>
      <c r="C41" s="4" t="s">
        <v>84</v>
      </c>
      <c r="D41" s="8" t="s">
        <v>232</v>
      </c>
      <c r="E41" s="8" t="s">
        <v>167</v>
      </c>
      <c r="F41" s="8" t="s">
        <v>233</v>
      </c>
      <c r="G41" s="11" t="s">
        <v>20</v>
      </c>
      <c r="H41" s="7" t="s">
        <v>228</v>
      </c>
      <c r="I41" s="7" t="s">
        <v>229</v>
      </c>
      <c r="J41" s="7" t="s">
        <v>110</v>
      </c>
    </row>
    <row r="42" ht="14.25" customHeight="1">
      <c r="A42" s="12" t="s">
        <v>234</v>
      </c>
      <c r="B42" s="13" t="s">
        <v>235</v>
      </c>
      <c r="C42" s="4" t="s">
        <v>84</v>
      </c>
      <c r="D42" s="8" t="s">
        <v>236</v>
      </c>
      <c r="E42" s="13">
        <v>59.0</v>
      </c>
      <c r="F42" s="13">
        <v>46.8</v>
      </c>
      <c r="G42" s="11" t="s">
        <v>20</v>
      </c>
      <c r="H42" s="7" t="s">
        <v>237</v>
      </c>
      <c r="I42" s="7" t="s">
        <v>229</v>
      </c>
      <c r="J42" s="7" t="s">
        <v>110</v>
      </c>
    </row>
    <row r="43" ht="14.25" customHeight="1">
      <c r="A43" s="12" t="s">
        <v>238</v>
      </c>
      <c r="B43" s="4" t="s">
        <v>239</v>
      </c>
      <c r="C43" s="4" t="s">
        <v>84</v>
      </c>
      <c r="D43" s="8" t="s">
        <v>147</v>
      </c>
      <c r="E43" s="8" t="s">
        <v>120</v>
      </c>
      <c r="F43" s="8" t="s">
        <v>240</v>
      </c>
      <c r="G43" s="11" t="s">
        <v>20</v>
      </c>
      <c r="H43" s="7" t="s">
        <v>241</v>
      </c>
      <c r="I43" s="7" t="s">
        <v>136</v>
      </c>
      <c r="J43" s="7" t="s">
        <v>110</v>
      </c>
    </row>
    <row r="44" ht="14.25" customHeight="1">
      <c r="A44" s="12" t="s">
        <v>242</v>
      </c>
      <c r="B44" s="4" t="s">
        <v>243</v>
      </c>
      <c r="C44" s="4" t="s">
        <v>84</v>
      </c>
      <c r="D44" s="8" t="s">
        <v>244</v>
      </c>
      <c r="E44" s="8" t="s">
        <v>245</v>
      </c>
      <c r="F44" s="8" t="s">
        <v>244</v>
      </c>
      <c r="G44" s="11" t="s">
        <v>20</v>
      </c>
      <c r="H44" s="7" t="s">
        <v>246</v>
      </c>
      <c r="I44" s="7" t="s">
        <v>247</v>
      </c>
      <c r="J44" s="7" t="s">
        <v>110</v>
      </c>
    </row>
    <row r="45" ht="14.25" customHeight="1">
      <c r="A45" s="2" t="s">
        <v>248</v>
      </c>
    </row>
    <row r="46" ht="14.25" customHeight="1">
      <c r="A46" s="3" t="s">
        <v>249</v>
      </c>
      <c r="B46" s="14" t="s">
        <v>250</v>
      </c>
      <c r="C46" s="14" t="s">
        <v>26</v>
      </c>
      <c r="D46" s="8" t="s">
        <v>173</v>
      </c>
      <c r="E46" s="8" t="s">
        <v>173</v>
      </c>
      <c r="F46" s="8" t="s">
        <v>173</v>
      </c>
      <c r="G46" s="15" t="s">
        <v>20</v>
      </c>
      <c r="H46" s="7" t="s">
        <v>251</v>
      </c>
      <c r="I46" s="7" t="s">
        <v>252</v>
      </c>
      <c r="J46" s="7" t="s">
        <v>253</v>
      </c>
    </row>
    <row r="47" ht="14.25" customHeight="1">
      <c r="A47" s="3" t="s">
        <v>254</v>
      </c>
      <c r="B47" s="14" t="s">
        <v>250</v>
      </c>
      <c r="C47" s="14" t="s">
        <v>26</v>
      </c>
      <c r="D47" s="8" t="s">
        <v>255</v>
      </c>
      <c r="E47" s="8" t="s">
        <v>255</v>
      </c>
      <c r="F47" s="8" t="s">
        <v>255</v>
      </c>
      <c r="G47" s="15" t="s">
        <v>23</v>
      </c>
      <c r="H47" s="15" t="s">
        <v>256</v>
      </c>
      <c r="I47" s="15" t="s">
        <v>252</v>
      </c>
      <c r="J47" s="7" t="s">
        <v>253</v>
      </c>
    </row>
    <row r="48" ht="14.25" customHeight="1">
      <c r="A48" s="3" t="s">
        <v>257</v>
      </c>
      <c r="B48" s="4" t="s">
        <v>258</v>
      </c>
      <c r="C48" s="4" t="s">
        <v>105</v>
      </c>
      <c r="D48" s="8" t="s">
        <v>147</v>
      </c>
      <c r="E48" s="8" t="s">
        <v>259</v>
      </c>
      <c r="F48" s="8" t="s">
        <v>147</v>
      </c>
      <c r="G48" s="15" t="s">
        <v>20</v>
      </c>
      <c r="H48" s="7" t="s">
        <v>260</v>
      </c>
      <c r="I48" s="7" t="s">
        <v>252</v>
      </c>
      <c r="J48" s="7" t="s">
        <v>253</v>
      </c>
    </row>
    <row r="49" ht="14.25" customHeight="1">
      <c r="A49" s="3" t="s">
        <v>261</v>
      </c>
      <c r="B49" s="4" t="s">
        <v>262</v>
      </c>
      <c r="C49" s="4" t="s">
        <v>26</v>
      </c>
      <c r="D49" s="8" t="s">
        <v>263</v>
      </c>
      <c r="E49" s="8" t="s">
        <v>27</v>
      </c>
      <c r="F49" s="8" t="s">
        <v>264</v>
      </c>
      <c r="G49" s="7" t="s">
        <v>20</v>
      </c>
      <c r="H49" s="7" t="s">
        <v>251</v>
      </c>
      <c r="I49" s="7" t="s">
        <v>252</v>
      </c>
      <c r="J49" s="7" t="s">
        <v>253</v>
      </c>
    </row>
    <row r="50" ht="14.25" customHeight="1">
      <c r="A50" s="3" t="s">
        <v>265</v>
      </c>
      <c r="B50" s="4" t="s">
        <v>266</v>
      </c>
      <c r="C50" s="4" t="s">
        <v>26</v>
      </c>
      <c r="D50" s="8" t="s">
        <v>267</v>
      </c>
      <c r="E50" s="8" t="s">
        <v>27</v>
      </c>
      <c r="F50" s="8" t="s">
        <v>264</v>
      </c>
      <c r="G50" s="7" t="s">
        <v>20</v>
      </c>
      <c r="H50" s="7" t="s">
        <v>251</v>
      </c>
      <c r="I50" s="7" t="s">
        <v>252</v>
      </c>
      <c r="J50" s="7" t="s">
        <v>253</v>
      </c>
    </row>
    <row r="51" ht="14.25" customHeight="1">
      <c r="A51" s="3" t="s">
        <v>268</v>
      </c>
      <c r="B51" s="4" t="s">
        <v>269</v>
      </c>
      <c r="C51" s="4" t="s">
        <v>26</v>
      </c>
      <c r="D51" s="8" t="s">
        <v>270</v>
      </c>
      <c r="E51" s="8" t="s">
        <v>27</v>
      </c>
      <c r="F51" s="8" t="s">
        <v>264</v>
      </c>
      <c r="G51" s="7" t="s">
        <v>20</v>
      </c>
      <c r="H51" s="7" t="s">
        <v>251</v>
      </c>
      <c r="I51" s="7" t="s">
        <v>252</v>
      </c>
      <c r="J51" s="7" t="s">
        <v>253</v>
      </c>
    </row>
    <row r="52" ht="14.25" customHeight="1">
      <c r="A52" s="3" t="s">
        <v>271</v>
      </c>
      <c r="B52" s="4" t="s">
        <v>272</v>
      </c>
      <c r="C52" s="4" t="s">
        <v>26</v>
      </c>
      <c r="D52" s="8" t="s">
        <v>273</v>
      </c>
      <c r="E52" s="8" t="s">
        <v>274</v>
      </c>
      <c r="F52" s="8" t="s">
        <v>275</v>
      </c>
      <c r="G52" s="7" t="s">
        <v>20</v>
      </c>
      <c r="H52" s="7" t="s">
        <v>276</v>
      </c>
      <c r="I52" s="7" t="s">
        <v>277</v>
      </c>
      <c r="J52" s="7" t="s">
        <v>253</v>
      </c>
    </row>
    <row r="53" ht="14.25" customHeight="1">
      <c r="A53" s="3" t="s">
        <v>278</v>
      </c>
      <c r="B53" s="4" t="s">
        <v>279</v>
      </c>
      <c r="C53" s="4" t="s">
        <v>26</v>
      </c>
      <c r="D53" s="8" t="s">
        <v>273</v>
      </c>
      <c r="E53" s="8" t="s">
        <v>274</v>
      </c>
      <c r="F53" s="8" t="s">
        <v>275</v>
      </c>
      <c r="G53" s="7" t="s">
        <v>20</v>
      </c>
      <c r="H53" s="7" t="s">
        <v>276</v>
      </c>
      <c r="I53" s="7" t="s">
        <v>277</v>
      </c>
      <c r="J53" s="7" t="s">
        <v>253</v>
      </c>
    </row>
    <row r="54" ht="14.25" customHeight="1">
      <c r="A54" s="3" t="s">
        <v>280</v>
      </c>
      <c r="B54" s="4" t="s">
        <v>281</v>
      </c>
      <c r="C54" s="4" t="s">
        <v>26</v>
      </c>
      <c r="D54" s="8" t="s">
        <v>282</v>
      </c>
      <c r="E54" s="8" t="s">
        <v>27</v>
      </c>
      <c r="F54" s="8" t="s">
        <v>264</v>
      </c>
      <c r="G54" s="7" t="s">
        <v>20</v>
      </c>
      <c r="H54" s="7" t="s">
        <v>283</v>
      </c>
      <c r="I54" s="7" t="s">
        <v>252</v>
      </c>
      <c r="J54" s="7" t="s">
        <v>253</v>
      </c>
    </row>
    <row r="55" ht="14.25" customHeight="1">
      <c r="A55" s="3" t="s">
        <v>284</v>
      </c>
      <c r="B55" s="4" t="s">
        <v>285</v>
      </c>
      <c r="C55" s="4" t="s">
        <v>26</v>
      </c>
      <c r="D55" s="8" t="s">
        <v>245</v>
      </c>
      <c r="E55" s="8" t="s">
        <v>245</v>
      </c>
      <c r="F55" s="8" t="s">
        <v>34</v>
      </c>
      <c r="G55" s="7" t="s">
        <v>20</v>
      </c>
      <c r="H55" s="7" t="s">
        <v>286</v>
      </c>
      <c r="I55" s="7" t="s">
        <v>252</v>
      </c>
      <c r="J55" s="7" t="s">
        <v>253</v>
      </c>
    </row>
    <row r="56" ht="14.25" customHeight="1">
      <c r="A56" s="3" t="s">
        <v>287</v>
      </c>
      <c r="B56" s="4" t="s">
        <v>288</v>
      </c>
      <c r="C56" s="4" t="s">
        <v>26</v>
      </c>
      <c r="D56" s="8" t="s">
        <v>245</v>
      </c>
      <c r="E56" s="8" t="s">
        <v>245</v>
      </c>
      <c r="F56" s="8" t="s">
        <v>34</v>
      </c>
      <c r="G56" s="7" t="s">
        <v>20</v>
      </c>
      <c r="H56" s="7" t="s">
        <v>286</v>
      </c>
      <c r="I56" s="7" t="s">
        <v>252</v>
      </c>
      <c r="J56" s="7" t="s">
        <v>253</v>
      </c>
    </row>
    <row r="57" ht="14.25" customHeight="1">
      <c r="A57" s="4" t="s">
        <v>289</v>
      </c>
      <c r="B57" s="4" t="s">
        <v>290</v>
      </c>
      <c r="C57" s="4" t="s">
        <v>42</v>
      </c>
      <c r="D57" s="8" t="s">
        <v>291</v>
      </c>
      <c r="E57" s="8" t="s">
        <v>292</v>
      </c>
      <c r="F57" s="8" t="s">
        <v>106</v>
      </c>
      <c r="G57" s="7" t="s">
        <v>67</v>
      </c>
      <c r="H57" s="7" t="s">
        <v>293</v>
      </c>
      <c r="I57" s="7" t="s">
        <v>252</v>
      </c>
      <c r="J57" s="7" t="s">
        <v>253</v>
      </c>
    </row>
    <row r="58" ht="14.25" customHeight="1">
      <c r="A58" s="4" t="s">
        <v>294</v>
      </c>
      <c r="B58" s="4" t="s">
        <v>295</v>
      </c>
      <c r="C58" s="4" t="s">
        <v>42</v>
      </c>
      <c r="D58" s="8" t="s">
        <v>296</v>
      </c>
      <c r="E58" s="8" t="s">
        <v>297</v>
      </c>
      <c r="F58" s="8" t="s">
        <v>298</v>
      </c>
      <c r="G58" s="7" t="s">
        <v>67</v>
      </c>
      <c r="H58" s="7" t="s">
        <v>299</v>
      </c>
      <c r="I58" s="7" t="s">
        <v>300</v>
      </c>
      <c r="J58" s="7" t="s">
        <v>253</v>
      </c>
    </row>
    <row r="59" ht="14.25" customHeight="1">
      <c r="A59" s="4" t="s">
        <v>301</v>
      </c>
      <c r="B59" s="4" t="s">
        <v>302</v>
      </c>
      <c r="C59" s="4" t="s">
        <v>42</v>
      </c>
      <c r="D59" s="8" t="s">
        <v>303</v>
      </c>
      <c r="E59" s="8" t="s">
        <v>304</v>
      </c>
      <c r="F59" s="8" t="s">
        <v>305</v>
      </c>
      <c r="G59" s="7" t="s">
        <v>113</v>
      </c>
      <c r="H59" s="7" t="s">
        <v>306</v>
      </c>
      <c r="I59" s="7" t="s">
        <v>307</v>
      </c>
      <c r="J59" s="7" t="s">
        <v>253</v>
      </c>
    </row>
    <row r="60" ht="14.25" customHeight="1">
      <c r="A60" s="4" t="s">
        <v>308</v>
      </c>
      <c r="B60" s="4" t="s">
        <v>309</v>
      </c>
      <c r="C60" s="4" t="s">
        <v>84</v>
      </c>
      <c r="D60" s="8" t="s">
        <v>310</v>
      </c>
      <c r="E60" s="8" t="s">
        <v>311</v>
      </c>
      <c r="F60" s="8" t="s">
        <v>312</v>
      </c>
      <c r="G60" s="15" t="s">
        <v>20</v>
      </c>
      <c r="H60" s="7" t="s">
        <v>313</v>
      </c>
      <c r="I60" s="7" t="s">
        <v>314</v>
      </c>
      <c r="J60" s="7" t="s">
        <v>253</v>
      </c>
    </row>
    <row r="61" ht="14.25" customHeight="1">
      <c r="A61" s="2" t="s">
        <v>315</v>
      </c>
    </row>
    <row r="62" ht="14.25" customHeight="1">
      <c r="A62" s="4" t="s">
        <v>316</v>
      </c>
      <c r="B62" s="4" t="s">
        <v>317</v>
      </c>
      <c r="C62" s="4" t="s">
        <v>105</v>
      </c>
      <c r="D62" s="8" t="s">
        <v>147</v>
      </c>
      <c r="E62" s="8" t="s">
        <v>318</v>
      </c>
      <c r="F62" s="8" t="s">
        <v>147</v>
      </c>
      <c r="G62" s="11" t="s">
        <v>20</v>
      </c>
      <c r="H62" s="7" t="s">
        <v>319</v>
      </c>
      <c r="I62" s="7" t="s">
        <v>320</v>
      </c>
      <c r="J62" s="7" t="s">
        <v>253</v>
      </c>
    </row>
    <row r="63" ht="14.25" customHeight="1">
      <c r="A63" s="4" t="s">
        <v>321</v>
      </c>
      <c r="B63" s="4" t="s">
        <v>322</v>
      </c>
      <c r="C63" s="4" t="s">
        <v>42</v>
      </c>
      <c r="D63" s="8" t="s">
        <v>99</v>
      </c>
      <c r="E63" s="8" t="s">
        <v>323</v>
      </c>
      <c r="F63" s="8" t="s">
        <v>311</v>
      </c>
      <c r="G63" s="8" t="s">
        <v>324</v>
      </c>
      <c r="H63" s="7" t="s">
        <v>325</v>
      </c>
      <c r="I63" s="7" t="s">
        <v>320</v>
      </c>
      <c r="J63" s="7" t="s">
        <v>253</v>
      </c>
    </row>
    <row r="64" ht="14.25" customHeight="1">
      <c r="A64" s="4" t="s">
        <v>326</v>
      </c>
      <c r="B64" s="4" t="s">
        <v>327</v>
      </c>
      <c r="C64" s="4" t="s">
        <v>42</v>
      </c>
      <c r="D64" s="8" t="s">
        <v>328</v>
      </c>
      <c r="E64" s="8" t="s">
        <v>329</v>
      </c>
      <c r="F64" s="8" t="s">
        <v>330</v>
      </c>
      <c r="G64" s="8" t="s">
        <v>67</v>
      </c>
      <c r="H64" s="7" t="s">
        <v>331</v>
      </c>
      <c r="I64" s="7" t="s">
        <v>332</v>
      </c>
      <c r="J64" s="7" t="s">
        <v>253</v>
      </c>
    </row>
    <row r="65" ht="14.25" customHeight="1">
      <c r="A65" s="4" t="s">
        <v>333</v>
      </c>
      <c r="B65" s="4" t="s">
        <v>334</v>
      </c>
      <c r="C65" s="4" t="s">
        <v>42</v>
      </c>
      <c r="D65" s="8" t="s">
        <v>335</v>
      </c>
      <c r="E65" s="8" t="s">
        <v>65</v>
      </c>
      <c r="F65" s="8" t="s">
        <v>336</v>
      </c>
      <c r="G65" s="8" t="s">
        <v>67</v>
      </c>
      <c r="H65" s="7" t="s">
        <v>337</v>
      </c>
      <c r="I65" s="7" t="s">
        <v>338</v>
      </c>
      <c r="J65" s="7" t="s">
        <v>253</v>
      </c>
    </row>
    <row r="66" ht="14.25" customHeight="1">
      <c r="A66" s="4" t="s">
        <v>339</v>
      </c>
      <c r="B66" s="4" t="s">
        <v>340</v>
      </c>
      <c r="C66" s="4" t="s">
        <v>71</v>
      </c>
      <c r="D66" s="8" t="s">
        <v>61</v>
      </c>
      <c r="E66" s="8" t="s">
        <v>61</v>
      </c>
      <c r="F66" s="8" t="s">
        <v>86</v>
      </c>
      <c r="G66" s="8" t="s">
        <v>46</v>
      </c>
      <c r="H66" s="7" t="s">
        <v>341</v>
      </c>
      <c r="I66" s="7" t="s">
        <v>342</v>
      </c>
      <c r="J66" s="7" t="s">
        <v>253</v>
      </c>
    </row>
    <row r="67" ht="14.25" customHeight="1">
      <c r="A67" s="4" t="s">
        <v>343</v>
      </c>
      <c r="B67" s="4" t="s">
        <v>344</v>
      </c>
      <c r="C67" s="4" t="s">
        <v>71</v>
      </c>
      <c r="D67" s="8" t="s">
        <v>345</v>
      </c>
      <c r="E67" s="8" t="s">
        <v>345</v>
      </c>
      <c r="F67" s="8" t="s">
        <v>345</v>
      </c>
      <c r="G67" s="8" t="s">
        <v>53</v>
      </c>
      <c r="H67" s="7" t="s">
        <v>346</v>
      </c>
      <c r="I67" s="7" t="s">
        <v>347</v>
      </c>
      <c r="J67" s="7" t="s">
        <v>253</v>
      </c>
    </row>
    <row r="68" ht="14.25" customHeight="1">
      <c r="A68" s="4" t="s">
        <v>348</v>
      </c>
      <c r="B68" s="4" t="s">
        <v>349</v>
      </c>
      <c r="C68" s="4" t="s">
        <v>71</v>
      </c>
      <c r="D68" s="8" t="s">
        <v>345</v>
      </c>
      <c r="E68" s="8" t="s">
        <v>345</v>
      </c>
      <c r="F68" s="8" t="s">
        <v>86</v>
      </c>
      <c r="G68" s="8" t="s">
        <v>20</v>
      </c>
      <c r="H68" s="7" t="s">
        <v>346</v>
      </c>
      <c r="I68" s="7" t="s">
        <v>347</v>
      </c>
      <c r="J68" s="7" t="s">
        <v>253</v>
      </c>
    </row>
    <row r="69" ht="14.25" customHeight="1">
      <c r="A69" s="4" t="s">
        <v>350</v>
      </c>
      <c r="B69" s="4" t="s">
        <v>351</v>
      </c>
      <c r="C69" s="4" t="s">
        <v>71</v>
      </c>
      <c r="D69" s="8" t="s">
        <v>166</v>
      </c>
      <c r="E69" s="8" t="s">
        <v>352</v>
      </c>
      <c r="F69" s="8" t="s">
        <v>166</v>
      </c>
      <c r="G69" s="8" t="s">
        <v>46</v>
      </c>
      <c r="H69" s="7" t="s">
        <v>353</v>
      </c>
      <c r="I69" s="7" t="s">
        <v>354</v>
      </c>
      <c r="J69" s="7" t="s">
        <v>253</v>
      </c>
    </row>
    <row r="70" ht="14.25" customHeight="1">
      <c r="A70" s="4" t="s">
        <v>355</v>
      </c>
      <c r="B70" s="4" t="s">
        <v>356</v>
      </c>
      <c r="C70" s="4" t="s">
        <v>84</v>
      </c>
      <c r="D70" s="8" t="s">
        <v>357</v>
      </c>
      <c r="E70" s="8" t="s">
        <v>214</v>
      </c>
      <c r="F70" s="8" t="s">
        <v>357</v>
      </c>
      <c r="G70" s="11" t="s">
        <v>20</v>
      </c>
      <c r="H70" s="7" t="s">
        <v>358</v>
      </c>
      <c r="I70" s="7" t="s">
        <v>359</v>
      </c>
      <c r="J70" s="7" t="s">
        <v>253</v>
      </c>
    </row>
    <row r="71" ht="14.25" customHeight="1">
      <c r="A71" s="2" t="s">
        <v>360</v>
      </c>
    </row>
    <row r="72" ht="14.25" customHeight="1">
      <c r="A72" s="4" t="s">
        <v>361</v>
      </c>
      <c r="B72" s="14" t="s">
        <v>250</v>
      </c>
      <c r="C72" s="14" t="s">
        <v>191</v>
      </c>
      <c r="D72" s="8" t="s">
        <v>362</v>
      </c>
      <c r="E72" s="8" t="s">
        <v>362</v>
      </c>
      <c r="F72" s="8" t="s">
        <v>362</v>
      </c>
      <c r="G72" s="11" t="s">
        <v>20</v>
      </c>
      <c r="H72" s="7" t="s">
        <v>363</v>
      </c>
      <c r="I72" s="15" t="s">
        <v>364</v>
      </c>
      <c r="J72" s="7" t="s">
        <v>19</v>
      </c>
    </row>
    <row r="73" ht="14.25" customHeight="1">
      <c r="A73" s="4" t="s">
        <v>365</v>
      </c>
      <c r="B73" s="14" t="s">
        <v>250</v>
      </c>
      <c r="C73" s="14" t="s">
        <v>71</v>
      </c>
      <c r="D73" s="8" t="s">
        <v>366</v>
      </c>
      <c r="E73" s="8" t="s">
        <v>366</v>
      </c>
      <c r="F73" s="8" t="s">
        <v>366</v>
      </c>
      <c r="G73" s="11" t="s">
        <v>20</v>
      </c>
      <c r="H73" s="15" t="s">
        <v>367</v>
      </c>
      <c r="I73" s="15" t="s">
        <v>368</v>
      </c>
      <c r="J73" s="7" t="s">
        <v>19</v>
      </c>
    </row>
    <row r="74" ht="14.25" customHeight="1">
      <c r="A74" s="4" t="s">
        <v>369</v>
      </c>
      <c r="B74" s="4" t="s">
        <v>370</v>
      </c>
      <c r="C74" s="4" t="s">
        <v>105</v>
      </c>
      <c r="D74" s="8" t="s">
        <v>173</v>
      </c>
      <c r="E74" s="8" t="s">
        <v>173</v>
      </c>
      <c r="F74" s="8" t="s">
        <v>173</v>
      </c>
      <c r="G74" s="8" t="s">
        <v>147</v>
      </c>
      <c r="H74" s="7" t="s">
        <v>371</v>
      </c>
      <c r="I74" s="7" t="s">
        <v>364</v>
      </c>
      <c r="J74" s="7" t="s">
        <v>19</v>
      </c>
    </row>
    <row r="75" ht="14.25" customHeight="1">
      <c r="A75" s="4" t="s">
        <v>372</v>
      </c>
      <c r="B75" s="4" t="s">
        <v>373</v>
      </c>
      <c r="C75" s="4" t="s">
        <v>42</v>
      </c>
      <c r="D75" s="8" t="s">
        <v>374</v>
      </c>
      <c r="E75" s="8" t="s">
        <v>375</v>
      </c>
      <c r="F75" s="8" t="s">
        <v>376</v>
      </c>
      <c r="G75" s="8" t="s">
        <v>377</v>
      </c>
      <c r="H75" s="7" t="s">
        <v>378</v>
      </c>
      <c r="I75" s="7" t="s">
        <v>379</v>
      </c>
      <c r="J75" s="7" t="s">
        <v>19</v>
      </c>
    </row>
    <row r="76" ht="14.25" customHeight="1">
      <c r="A76" s="4" t="s">
        <v>380</v>
      </c>
      <c r="B76" s="4" t="s">
        <v>381</v>
      </c>
      <c r="C76" s="4" t="s">
        <v>42</v>
      </c>
      <c r="D76" s="8" t="s">
        <v>382</v>
      </c>
      <c r="E76" s="8" t="s">
        <v>383</v>
      </c>
      <c r="F76" s="8" t="s">
        <v>384</v>
      </c>
      <c r="G76" s="8" t="s">
        <v>46</v>
      </c>
      <c r="H76" s="7" t="s">
        <v>385</v>
      </c>
      <c r="I76" s="7" t="s">
        <v>386</v>
      </c>
      <c r="J76" s="7" t="s">
        <v>19</v>
      </c>
    </row>
    <row r="77" ht="14.25" customHeight="1">
      <c r="A77" s="4" t="s">
        <v>387</v>
      </c>
      <c r="B77" s="4" t="s">
        <v>388</v>
      </c>
      <c r="C77" s="4" t="s">
        <v>191</v>
      </c>
      <c r="D77" s="8" t="s">
        <v>389</v>
      </c>
      <c r="E77" s="8" t="s">
        <v>390</v>
      </c>
      <c r="F77" s="8" t="s">
        <v>391</v>
      </c>
      <c r="G77" s="8" t="s">
        <v>53</v>
      </c>
      <c r="H77" s="7" t="s">
        <v>363</v>
      </c>
      <c r="I77" s="7" t="s">
        <v>392</v>
      </c>
      <c r="J77" s="7" t="s">
        <v>19</v>
      </c>
    </row>
    <row r="78" ht="14.25" customHeight="1">
      <c r="A78" s="4" t="s">
        <v>393</v>
      </c>
      <c r="B78" s="4" t="s">
        <v>394</v>
      </c>
      <c r="C78" s="4" t="s">
        <v>191</v>
      </c>
      <c r="D78" s="8" t="s">
        <v>395</v>
      </c>
      <c r="E78" s="8" t="s">
        <v>396</v>
      </c>
      <c r="F78" s="8" t="s">
        <v>397</v>
      </c>
      <c r="G78" s="8" t="s">
        <v>148</v>
      </c>
      <c r="H78" s="7" t="s">
        <v>398</v>
      </c>
      <c r="I78" s="7" t="s">
        <v>399</v>
      </c>
      <c r="J78" s="7" t="s">
        <v>19</v>
      </c>
    </row>
    <row r="79" ht="14.25" customHeight="1">
      <c r="A79" s="4" t="s">
        <v>400</v>
      </c>
      <c r="B79" s="14" t="s">
        <v>250</v>
      </c>
      <c r="C79" s="4" t="s">
        <v>84</v>
      </c>
      <c r="D79" s="8" t="s">
        <v>401</v>
      </c>
      <c r="E79" s="8" t="s">
        <v>401</v>
      </c>
      <c r="F79" s="8" t="s">
        <v>401</v>
      </c>
      <c r="G79" s="11" t="s">
        <v>20</v>
      </c>
      <c r="H79" s="15" t="s">
        <v>402</v>
      </c>
      <c r="I79" s="15" t="s">
        <v>403</v>
      </c>
      <c r="J79" s="7" t="s">
        <v>19</v>
      </c>
    </row>
    <row r="80" ht="14.25" customHeight="1">
      <c r="A80" s="4" t="s">
        <v>404</v>
      </c>
      <c r="B80" s="14" t="s">
        <v>250</v>
      </c>
      <c r="C80" s="4" t="s">
        <v>84</v>
      </c>
      <c r="D80" s="8" t="s">
        <v>405</v>
      </c>
      <c r="E80" s="8" t="s">
        <v>405</v>
      </c>
      <c r="F80" s="8" t="s">
        <v>405</v>
      </c>
      <c r="G80" s="11" t="s">
        <v>20</v>
      </c>
      <c r="H80" s="15" t="s">
        <v>406</v>
      </c>
      <c r="I80" s="15" t="s">
        <v>368</v>
      </c>
      <c r="J80" s="7" t="s">
        <v>19</v>
      </c>
    </row>
    <row r="81" ht="14.25" customHeight="1">
      <c r="A81" s="4" t="s">
        <v>407</v>
      </c>
      <c r="B81" s="4" t="s">
        <v>408</v>
      </c>
      <c r="C81" s="4" t="s">
        <v>84</v>
      </c>
      <c r="D81" s="16">
        <v>40.5</v>
      </c>
      <c r="E81" s="8" t="s">
        <v>409</v>
      </c>
      <c r="F81" s="8" t="s">
        <v>324</v>
      </c>
      <c r="G81" s="11" t="s">
        <v>20</v>
      </c>
      <c r="H81" s="7" t="s">
        <v>410</v>
      </c>
      <c r="I81" s="7" t="s">
        <v>411</v>
      </c>
      <c r="J81" s="7" t="s">
        <v>19</v>
      </c>
    </row>
    <row r="82" ht="14.25" customHeight="1">
      <c r="A82" s="4" t="s">
        <v>412</v>
      </c>
      <c r="B82" s="4" t="s">
        <v>413</v>
      </c>
      <c r="C82" s="4" t="s">
        <v>84</v>
      </c>
      <c r="D82" s="8" t="s">
        <v>414</v>
      </c>
      <c r="E82" s="8" t="s">
        <v>415</v>
      </c>
      <c r="F82" s="8" t="s">
        <v>414</v>
      </c>
      <c r="G82" s="11" t="s">
        <v>20</v>
      </c>
      <c r="H82" s="7" t="s">
        <v>416</v>
      </c>
      <c r="I82" s="7" t="s">
        <v>364</v>
      </c>
      <c r="J82" s="7" t="s">
        <v>19</v>
      </c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</row>
  </sheetData>
  <mergeCells count="9">
    <mergeCell ref="A61:J61"/>
    <mergeCell ref="A71:J71"/>
    <mergeCell ref="A1:C1"/>
    <mergeCell ref="D1:F1"/>
    <mergeCell ref="G1:G2"/>
    <mergeCell ref="H1:J1"/>
    <mergeCell ref="A3:J3"/>
    <mergeCell ref="A18:J18"/>
    <mergeCell ref="A45:J4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5.57"/>
    <col customWidth="1" min="3" max="3" width="9.0"/>
    <col customWidth="1" min="4" max="6" width="8.71"/>
    <col customWidth="1" min="7" max="7" width="9.0"/>
    <col customWidth="1" min="8" max="8" width="17.57"/>
    <col customWidth="1" min="9" max="10" width="9.0"/>
    <col customWidth="1" min="11" max="11" width="15.71"/>
    <col customWidth="1" min="12" max="12" width="8.43"/>
    <col customWidth="1" min="13" max="13" width="12.0"/>
    <col customWidth="1" min="14" max="14" width="13.71"/>
    <col customWidth="1" min="15" max="15" width="12.29"/>
    <col customWidth="1" min="16" max="16" width="12.43"/>
    <col customWidth="1" min="17" max="17" width="20.86"/>
    <col customWidth="1" min="18" max="18" width="17.86"/>
    <col customWidth="1" min="19" max="19" width="18.0"/>
    <col customWidth="1" min="20" max="20" width="10.0"/>
    <col customWidth="1" min="21" max="21" width="9.0"/>
    <col customWidth="1" min="22" max="22" width="11.43"/>
    <col customWidth="1" min="23" max="23" width="9.0"/>
    <col customWidth="1" min="24" max="24" width="11.43"/>
  </cols>
  <sheetData>
    <row r="1" ht="14.25" customHeight="1">
      <c r="A1" s="18" t="s">
        <v>417</v>
      </c>
      <c r="B1" s="18" t="s">
        <v>418</v>
      </c>
      <c r="C1" s="18" t="s">
        <v>419</v>
      </c>
      <c r="E1" s="18" t="s">
        <v>420</v>
      </c>
      <c r="F1" s="18" t="s">
        <v>421</v>
      </c>
      <c r="G1" s="18" t="s">
        <v>422</v>
      </c>
      <c r="H1" s="18" t="s">
        <v>423</v>
      </c>
      <c r="I1" s="18" t="s">
        <v>424</v>
      </c>
      <c r="J1" s="18" t="s">
        <v>425</v>
      </c>
      <c r="K1" s="18" t="s">
        <v>426</v>
      </c>
      <c r="L1" s="18" t="s">
        <v>427</v>
      </c>
      <c r="M1" s="18" t="s">
        <v>428</v>
      </c>
      <c r="N1" s="18" t="s">
        <v>429</v>
      </c>
      <c r="O1" s="18" t="s">
        <v>430</v>
      </c>
      <c r="P1" s="18" t="s">
        <v>431</v>
      </c>
      <c r="Q1" s="18" t="s">
        <v>432</v>
      </c>
      <c r="R1" s="18" t="s">
        <v>433</v>
      </c>
      <c r="S1" s="18" t="s">
        <v>434</v>
      </c>
      <c r="T1" s="18" t="s">
        <v>435</v>
      </c>
      <c r="U1" s="18" t="s">
        <v>436</v>
      </c>
      <c r="V1" s="18" t="s">
        <v>437</v>
      </c>
      <c r="W1" s="18" t="s">
        <v>438</v>
      </c>
      <c r="X1" s="18" t="s">
        <v>439</v>
      </c>
    </row>
    <row r="2" ht="14.25" customHeight="1">
      <c r="C2" s="18" t="s">
        <v>440</v>
      </c>
      <c r="D2" s="18" t="s">
        <v>441</v>
      </c>
    </row>
    <row r="3" ht="14.25" customHeight="1">
      <c r="A3" s="18" t="s">
        <v>13</v>
      </c>
    </row>
    <row r="4" ht="14.25" customHeight="1">
      <c r="A4" s="19" t="s">
        <v>442</v>
      </c>
      <c r="B4" s="19" t="s">
        <v>443</v>
      </c>
      <c r="C4" s="20">
        <v>87.0</v>
      </c>
      <c r="D4" s="20" t="s">
        <v>444</v>
      </c>
      <c r="E4" s="19" t="s">
        <v>48</v>
      </c>
      <c r="F4" s="19" t="s">
        <v>445</v>
      </c>
      <c r="G4" s="21">
        <v>138.0</v>
      </c>
      <c r="H4" s="21">
        <v>196.0</v>
      </c>
      <c r="I4" s="21">
        <v>100.0</v>
      </c>
      <c r="J4" s="21">
        <f t="shared" ref="J4:J19" si="1">((G4*1000)^2)/(I4*1000000)</f>
        <v>190.44</v>
      </c>
      <c r="K4" s="21">
        <v>795.0</v>
      </c>
      <c r="L4" s="20" t="s">
        <v>446</v>
      </c>
      <c r="M4" s="21">
        <v>95.0</v>
      </c>
      <c r="N4" s="21">
        <f t="shared" ref="N4:N19" si="2">M4*3.28084</f>
        <v>311.6798</v>
      </c>
      <c r="O4" s="21">
        <v>0.0242</v>
      </c>
      <c r="P4" s="21">
        <f t="shared" ref="P4:P19" si="3">O4/0.3048</f>
        <v>0.07939632546</v>
      </c>
      <c r="Q4" s="21">
        <v>0.482</v>
      </c>
      <c r="R4" s="21">
        <v>0.0756</v>
      </c>
      <c r="S4" s="21">
        <f t="shared" ref="S4:S19" si="4">R4/0.3048</f>
        <v>0.2480314961</v>
      </c>
      <c r="T4" s="19" t="str">
        <f t="shared" ref="T4:T19" si="5">COMPLEX(P4,S4*1000000,"i")</f>
        <v>0.0793963254593176+248031.496062992i</v>
      </c>
      <c r="U4" s="19" t="str">
        <f t="shared" ref="U4:U19" si="6">IMDIV(1,T4)</f>
        <v>1.29058536995032E-12-0.00000403174603174562i</v>
      </c>
      <c r="V4" s="21">
        <f t="shared" ref="V4:V19" si="7">IMAGINARY(U4)</f>
        <v>-0.000004031746032</v>
      </c>
      <c r="W4" s="22">
        <f t="shared" ref="W4:W19" si="8">(V4/(2*PI()*(60)))*1000000000</f>
        <v>-10.6945385</v>
      </c>
      <c r="X4" s="21">
        <f t="shared" ref="X4:X19" si="9">P4*M4</f>
        <v>7.542650919</v>
      </c>
    </row>
    <row r="5" ht="14.25" customHeight="1">
      <c r="A5" s="19" t="s">
        <v>447</v>
      </c>
      <c r="E5" s="19" t="s">
        <v>48</v>
      </c>
      <c r="F5" s="19" t="s">
        <v>445</v>
      </c>
      <c r="G5" s="21">
        <v>138.0</v>
      </c>
      <c r="H5" s="21">
        <v>196.0</v>
      </c>
      <c r="I5" s="21">
        <v>100.0</v>
      </c>
      <c r="J5" s="21">
        <f t="shared" si="1"/>
        <v>190.44</v>
      </c>
      <c r="K5" s="21">
        <v>795.0</v>
      </c>
      <c r="L5" s="20" t="s">
        <v>446</v>
      </c>
      <c r="M5" s="21">
        <v>95.0</v>
      </c>
      <c r="N5" s="21">
        <f t="shared" si="2"/>
        <v>311.6798</v>
      </c>
      <c r="O5" s="21">
        <v>0.0242</v>
      </c>
      <c r="P5" s="21">
        <f t="shared" si="3"/>
        <v>0.07939632546</v>
      </c>
      <c r="Q5" s="21">
        <v>0.482</v>
      </c>
      <c r="R5" s="21">
        <v>0.0756</v>
      </c>
      <c r="S5" s="21">
        <f t="shared" si="4"/>
        <v>0.2480314961</v>
      </c>
      <c r="T5" s="19" t="str">
        <f t="shared" si="5"/>
        <v>0.0793963254593176+248031.496062992i</v>
      </c>
      <c r="U5" s="19" t="str">
        <f t="shared" si="6"/>
        <v>1.29058536995032E-12-0.00000403174603174562i</v>
      </c>
      <c r="V5" s="21">
        <f t="shared" si="7"/>
        <v>-0.000004031746032</v>
      </c>
      <c r="W5" s="22">
        <f t="shared" si="8"/>
        <v>-10.6945385</v>
      </c>
      <c r="X5" s="21">
        <f t="shared" si="9"/>
        <v>7.542650919</v>
      </c>
    </row>
    <row r="6" ht="14.25" customHeight="1">
      <c r="A6" s="19" t="s">
        <v>448</v>
      </c>
      <c r="B6" s="20" t="s">
        <v>449</v>
      </c>
      <c r="E6" s="19" t="s">
        <v>55</v>
      </c>
      <c r="F6" s="19" t="s">
        <v>445</v>
      </c>
      <c r="G6" s="21">
        <v>138.0</v>
      </c>
      <c r="H6" s="21">
        <v>196.0</v>
      </c>
      <c r="I6" s="21">
        <v>100.0</v>
      </c>
      <c r="J6" s="21">
        <f t="shared" si="1"/>
        <v>190.44</v>
      </c>
      <c r="K6" s="21">
        <v>795.0</v>
      </c>
      <c r="L6" s="20" t="s">
        <v>446</v>
      </c>
      <c r="M6" s="21">
        <v>53.61</v>
      </c>
      <c r="N6" s="21">
        <f t="shared" si="2"/>
        <v>175.8858324</v>
      </c>
      <c r="O6" s="21">
        <v>0.0242</v>
      </c>
      <c r="P6" s="21">
        <f t="shared" si="3"/>
        <v>0.07939632546</v>
      </c>
      <c r="Q6" s="21">
        <v>0.482</v>
      </c>
      <c r="R6" s="21">
        <v>0.0756</v>
      </c>
      <c r="S6" s="21">
        <f t="shared" si="4"/>
        <v>0.2480314961</v>
      </c>
      <c r="T6" s="19" t="str">
        <f t="shared" si="5"/>
        <v>0.0793963254593176+248031.496062992i</v>
      </c>
      <c r="U6" s="19" t="str">
        <f t="shared" si="6"/>
        <v>1.29058536995032E-12-0.00000403174603174562i</v>
      </c>
      <c r="V6" s="21">
        <f t="shared" si="7"/>
        <v>-0.000004031746032</v>
      </c>
      <c r="W6" s="22">
        <f t="shared" si="8"/>
        <v>-10.6945385</v>
      </c>
      <c r="X6" s="21">
        <f t="shared" si="9"/>
        <v>4.256437008</v>
      </c>
    </row>
    <row r="7" ht="14.25" customHeight="1">
      <c r="A7" s="19" t="s">
        <v>450</v>
      </c>
      <c r="E7" s="19" t="s">
        <v>55</v>
      </c>
      <c r="F7" s="19" t="s">
        <v>445</v>
      </c>
      <c r="G7" s="21">
        <v>138.0</v>
      </c>
      <c r="H7" s="21">
        <v>196.0</v>
      </c>
      <c r="I7" s="21">
        <v>100.0</v>
      </c>
      <c r="J7" s="21">
        <f t="shared" si="1"/>
        <v>190.44</v>
      </c>
      <c r="K7" s="21">
        <v>795.0</v>
      </c>
      <c r="L7" s="20" t="s">
        <v>446</v>
      </c>
      <c r="M7" s="21">
        <v>53.61</v>
      </c>
      <c r="N7" s="21">
        <f t="shared" si="2"/>
        <v>175.8858324</v>
      </c>
      <c r="O7" s="21">
        <v>0.0242</v>
      </c>
      <c r="P7" s="21">
        <f t="shared" si="3"/>
        <v>0.07939632546</v>
      </c>
      <c r="Q7" s="21">
        <v>0.482</v>
      </c>
      <c r="R7" s="21">
        <v>0.0756</v>
      </c>
      <c r="S7" s="21">
        <f t="shared" si="4"/>
        <v>0.2480314961</v>
      </c>
      <c r="T7" s="19" t="str">
        <f t="shared" si="5"/>
        <v>0.0793963254593176+248031.496062992i</v>
      </c>
      <c r="U7" s="19" t="str">
        <f t="shared" si="6"/>
        <v>1.29058536995032E-12-0.00000403174603174562i</v>
      </c>
      <c r="V7" s="21">
        <f t="shared" si="7"/>
        <v>-0.000004031746032</v>
      </c>
      <c r="W7" s="22">
        <f t="shared" si="8"/>
        <v>-10.6945385</v>
      </c>
      <c r="X7" s="21">
        <f t="shared" si="9"/>
        <v>4.256437008</v>
      </c>
    </row>
    <row r="8" ht="14.25" customHeight="1">
      <c r="A8" s="19" t="s">
        <v>451</v>
      </c>
      <c r="B8" s="20" t="s">
        <v>449</v>
      </c>
      <c r="E8" s="19" t="s">
        <v>452</v>
      </c>
      <c r="F8" s="19" t="s">
        <v>55</v>
      </c>
      <c r="G8" s="21">
        <v>138.0</v>
      </c>
      <c r="H8" s="21">
        <v>196.0</v>
      </c>
      <c r="I8" s="21">
        <v>100.0</v>
      </c>
      <c r="J8" s="21">
        <f t="shared" si="1"/>
        <v>190.44</v>
      </c>
      <c r="K8" s="21">
        <v>795.0</v>
      </c>
      <c r="L8" s="20" t="s">
        <v>446</v>
      </c>
      <c r="M8" s="21">
        <f t="shared" ref="M8:M10" si="10">14.85+16.24</f>
        <v>31.09</v>
      </c>
      <c r="N8" s="21">
        <f t="shared" si="2"/>
        <v>102.0013156</v>
      </c>
      <c r="O8" s="21">
        <v>0.0242</v>
      </c>
      <c r="P8" s="21">
        <f t="shared" si="3"/>
        <v>0.07939632546</v>
      </c>
      <c r="Q8" s="21">
        <v>0.482</v>
      </c>
      <c r="R8" s="21">
        <v>0.0756</v>
      </c>
      <c r="S8" s="21">
        <f t="shared" si="4"/>
        <v>0.2480314961</v>
      </c>
      <c r="T8" s="19" t="str">
        <f t="shared" si="5"/>
        <v>0.0793963254593176+248031.496062992i</v>
      </c>
      <c r="U8" s="19" t="str">
        <f t="shared" si="6"/>
        <v>1.29058536995032E-12-0.00000403174603174562i</v>
      </c>
      <c r="V8" s="21">
        <f t="shared" si="7"/>
        <v>-0.000004031746032</v>
      </c>
      <c r="W8" s="22">
        <f t="shared" si="8"/>
        <v>-10.6945385</v>
      </c>
      <c r="X8" s="21">
        <f t="shared" si="9"/>
        <v>2.468431759</v>
      </c>
    </row>
    <row r="9" ht="14.25" customHeight="1">
      <c r="A9" s="19" t="s">
        <v>453</v>
      </c>
      <c r="E9" s="19" t="s">
        <v>452</v>
      </c>
      <c r="F9" s="19" t="s">
        <v>55</v>
      </c>
      <c r="G9" s="21">
        <v>138.0</v>
      </c>
      <c r="H9" s="21">
        <v>196.0</v>
      </c>
      <c r="I9" s="21">
        <v>100.0</v>
      </c>
      <c r="J9" s="21">
        <f t="shared" si="1"/>
        <v>190.44</v>
      </c>
      <c r="K9" s="21">
        <v>795.0</v>
      </c>
      <c r="L9" s="20" t="s">
        <v>446</v>
      </c>
      <c r="M9" s="21">
        <f t="shared" si="10"/>
        <v>31.09</v>
      </c>
      <c r="N9" s="21">
        <f t="shared" si="2"/>
        <v>102.0013156</v>
      </c>
      <c r="O9" s="21">
        <v>0.0242</v>
      </c>
      <c r="P9" s="21">
        <f t="shared" si="3"/>
        <v>0.07939632546</v>
      </c>
      <c r="Q9" s="21">
        <v>0.482</v>
      </c>
      <c r="R9" s="21">
        <v>0.0756</v>
      </c>
      <c r="S9" s="21">
        <f t="shared" si="4"/>
        <v>0.2480314961</v>
      </c>
      <c r="T9" s="19" t="str">
        <f t="shared" si="5"/>
        <v>0.0793963254593176+248031.496062992i</v>
      </c>
      <c r="U9" s="19" t="str">
        <f t="shared" si="6"/>
        <v>1.29058536995032E-12-0.00000403174603174562i</v>
      </c>
      <c r="V9" s="21">
        <f t="shared" si="7"/>
        <v>-0.000004031746032</v>
      </c>
      <c r="W9" s="22">
        <f t="shared" si="8"/>
        <v>-10.6945385</v>
      </c>
      <c r="X9" s="21">
        <f t="shared" si="9"/>
        <v>2.468431759</v>
      </c>
    </row>
    <row r="10" ht="14.25" customHeight="1">
      <c r="A10" s="19" t="s">
        <v>454</v>
      </c>
      <c r="E10" s="19" t="s">
        <v>452</v>
      </c>
      <c r="F10" s="19" t="s">
        <v>55</v>
      </c>
      <c r="G10" s="21">
        <v>138.0</v>
      </c>
      <c r="H10" s="21">
        <v>196.0</v>
      </c>
      <c r="I10" s="21">
        <v>100.0</v>
      </c>
      <c r="J10" s="21">
        <f t="shared" si="1"/>
        <v>190.44</v>
      </c>
      <c r="K10" s="21">
        <v>795.0</v>
      </c>
      <c r="L10" s="20" t="s">
        <v>446</v>
      </c>
      <c r="M10" s="21">
        <f t="shared" si="10"/>
        <v>31.09</v>
      </c>
      <c r="N10" s="21">
        <f t="shared" si="2"/>
        <v>102.0013156</v>
      </c>
      <c r="O10" s="21">
        <v>0.0242</v>
      </c>
      <c r="P10" s="21">
        <f t="shared" si="3"/>
        <v>0.07939632546</v>
      </c>
      <c r="Q10" s="21">
        <v>0.482</v>
      </c>
      <c r="R10" s="21">
        <v>0.0756</v>
      </c>
      <c r="S10" s="21">
        <f t="shared" si="4"/>
        <v>0.2480314961</v>
      </c>
      <c r="T10" s="19" t="str">
        <f t="shared" si="5"/>
        <v>0.0793963254593176+248031.496062992i</v>
      </c>
      <c r="U10" s="19" t="str">
        <f t="shared" si="6"/>
        <v>1.29058536995032E-12-0.00000403174603174562i</v>
      </c>
      <c r="V10" s="21">
        <f t="shared" si="7"/>
        <v>-0.000004031746032</v>
      </c>
      <c r="W10" s="22">
        <f t="shared" si="8"/>
        <v>-10.6945385</v>
      </c>
      <c r="X10" s="21">
        <f t="shared" si="9"/>
        <v>2.468431759</v>
      </c>
    </row>
    <row r="11" ht="14.25" customHeight="1">
      <c r="A11" s="19" t="s">
        <v>455</v>
      </c>
      <c r="B11" s="19" t="s">
        <v>456</v>
      </c>
      <c r="C11" s="20">
        <v>85.0</v>
      </c>
      <c r="D11" s="20" t="s">
        <v>457</v>
      </c>
      <c r="E11" s="19" t="s">
        <v>458</v>
      </c>
      <c r="F11" s="19" t="s">
        <v>55</v>
      </c>
      <c r="G11" s="21">
        <v>138.0</v>
      </c>
      <c r="H11" s="21">
        <v>196.0</v>
      </c>
      <c r="I11" s="21">
        <v>100.0</v>
      </c>
      <c r="J11" s="21">
        <f t="shared" si="1"/>
        <v>190.44</v>
      </c>
      <c r="K11" s="21">
        <v>795.0</v>
      </c>
      <c r="L11" s="20" t="s">
        <v>446</v>
      </c>
      <c r="M11" s="21">
        <v>24.0</v>
      </c>
      <c r="N11" s="21">
        <f t="shared" si="2"/>
        <v>78.74016</v>
      </c>
      <c r="O11" s="21">
        <v>0.0242</v>
      </c>
      <c r="P11" s="21">
        <f t="shared" si="3"/>
        <v>0.07939632546</v>
      </c>
      <c r="Q11" s="21">
        <v>0.482</v>
      </c>
      <c r="R11" s="21">
        <v>0.0756</v>
      </c>
      <c r="S11" s="21">
        <f t="shared" si="4"/>
        <v>0.2480314961</v>
      </c>
      <c r="T11" s="19" t="str">
        <f t="shared" si="5"/>
        <v>0.0793963254593176+248031.496062992i</v>
      </c>
      <c r="U11" s="19" t="str">
        <f t="shared" si="6"/>
        <v>1.29058536995032E-12-0.00000403174603174562i</v>
      </c>
      <c r="V11" s="21">
        <f t="shared" si="7"/>
        <v>-0.000004031746032</v>
      </c>
      <c r="W11" s="22">
        <f t="shared" si="8"/>
        <v>-10.6945385</v>
      </c>
      <c r="X11" s="21">
        <f t="shared" si="9"/>
        <v>1.905511811</v>
      </c>
    </row>
    <row r="12" ht="14.25" customHeight="1">
      <c r="A12" s="19" t="s">
        <v>459</v>
      </c>
      <c r="E12" s="19" t="s">
        <v>458</v>
      </c>
      <c r="F12" s="19" t="s">
        <v>55</v>
      </c>
      <c r="G12" s="21">
        <v>138.0</v>
      </c>
      <c r="H12" s="21">
        <v>196.0</v>
      </c>
      <c r="I12" s="21">
        <v>100.0</v>
      </c>
      <c r="J12" s="21">
        <f t="shared" si="1"/>
        <v>190.44</v>
      </c>
      <c r="K12" s="21">
        <v>795.0</v>
      </c>
      <c r="L12" s="20" t="s">
        <v>446</v>
      </c>
      <c r="M12" s="21">
        <v>24.0</v>
      </c>
      <c r="N12" s="21">
        <f t="shared" si="2"/>
        <v>78.74016</v>
      </c>
      <c r="O12" s="21">
        <v>0.0242</v>
      </c>
      <c r="P12" s="21">
        <f t="shared" si="3"/>
        <v>0.07939632546</v>
      </c>
      <c r="Q12" s="21">
        <v>0.482</v>
      </c>
      <c r="R12" s="21">
        <v>0.0756</v>
      </c>
      <c r="S12" s="21">
        <f t="shared" si="4"/>
        <v>0.2480314961</v>
      </c>
      <c r="T12" s="19" t="str">
        <f t="shared" si="5"/>
        <v>0.0793963254593176+248031.496062992i</v>
      </c>
      <c r="U12" s="19" t="str">
        <f t="shared" si="6"/>
        <v>1.29058536995032E-12-0.00000403174603174562i</v>
      </c>
      <c r="V12" s="21">
        <f t="shared" si="7"/>
        <v>-0.000004031746032</v>
      </c>
      <c r="W12" s="22">
        <f t="shared" si="8"/>
        <v>-10.6945385</v>
      </c>
      <c r="X12" s="21">
        <f t="shared" si="9"/>
        <v>1.905511811</v>
      </c>
    </row>
    <row r="13" ht="14.25" customHeight="1">
      <c r="A13" s="19" t="s">
        <v>460</v>
      </c>
      <c r="B13" s="20" t="s">
        <v>449</v>
      </c>
      <c r="E13" s="19" t="s">
        <v>452</v>
      </c>
      <c r="F13" s="19" t="s">
        <v>461</v>
      </c>
      <c r="G13" s="21">
        <v>138.0</v>
      </c>
      <c r="H13" s="21">
        <v>392.0</v>
      </c>
      <c r="I13" s="21">
        <v>100.0</v>
      </c>
      <c r="J13" s="21">
        <f t="shared" si="1"/>
        <v>190.44</v>
      </c>
      <c r="K13" s="21">
        <v>795.0</v>
      </c>
      <c r="L13" s="20" t="s">
        <v>446</v>
      </c>
      <c r="M13" s="21">
        <v>42.19</v>
      </c>
      <c r="N13" s="21">
        <f t="shared" si="2"/>
        <v>138.4186396</v>
      </c>
      <c r="O13" s="21">
        <v>0.0242</v>
      </c>
      <c r="P13" s="21">
        <f t="shared" si="3"/>
        <v>0.07939632546</v>
      </c>
      <c r="Q13" s="21">
        <v>0.482</v>
      </c>
      <c r="R13" s="21">
        <v>0.0756</v>
      </c>
      <c r="S13" s="21">
        <f t="shared" si="4"/>
        <v>0.2480314961</v>
      </c>
      <c r="T13" s="19" t="str">
        <f t="shared" si="5"/>
        <v>0.0793963254593176+248031.496062992i</v>
      </c>
      <c r="U13" s="19" t="str">
        <f t="shared" si="6"/>
        <v>1.29058536995032E-12-0.00000403174603174562i</v>
      </c>
      <c r="V13" s="21">
        <f t="shared" si="7"/>
        <v>-0.000004031746032</v>
      </c>
      <c r="W13" s="22">
        <f t="shared" si="8"/>
        <v>-10.6945385</v>
      </c>
      <c r="X13" s="21">
        <f t="shared" si="9"/>
        <v>3.349730971</v>
      </c>
    </row>
    <row r="14" ht="14.25" customHeight="1">
      <c r="A14" s="19" t="s">
        <v>462</v>
      </c>
      <c r="E14" s="19" t="s">
        <v>452</v>
      </c>
      <c r="F14" s="19" t="s">
        <v>461</v>
      </c>
      <c r="G14" s="21">
        <v>138.0</v>
      </c>
      <c r="H14" s="21">
        <v>392.0</v>
      </c>
      <c r="I14" s="21">
        <v>100.0</v>
      </c>
      <c r="J14" s="21">
        <f t="shared" si="1"/>
        <v>190.44</v>
      </c>
      <c r="K14" s="21">
        <v>795.0</v>
      </c>
      <c r="L14" s="20" t="s">
        <v>446</v>
      </c>
      <c r="M14" s="21">
        <v>42.19</v>
      </c>
      <c r="N14" s="21">
        <f t="shared" si="2"/>
        <v>138.4186396</v>
      </c>
      <c r="O14" s="21">
        <v>0.0242</v>
      </c>
      <c r="P14" s="21">
        <f t="shared" si="3"/>
        <v>0.07939632546</v>
      </c>
      <c r="Q14" s="21">
        <v>0.482</v>
      </c>
      <c r="R14" s="21">
        <v>0.0756</v>
      </c>
      <c r="S14" s="21">
        <f t="shared" si="4"/>
        <v>0.2480314961</v>
      </c>
      <c r="T14" s="19" t="str">
        <f t="shared" si="5"/>
        <v>0.0793963254593176+248031.496062992i</v>
      </c>
      <c r="U14" s="19" t="str">
        <f t="shared" si="6"/>
        <v>1.29058536995032E-12-0.00000403174603174562i</v>
      </c>
      <c r="V14" s="21">
        <f t="shared" si="7"/>
        <v>-0.000004031746032</v>
      </c>
      <c r="W14" s="22">
        <f t="shared" si="8"/>
        <v>-10.6945385</v>
      </c>
      <c r="X14" s="21">
        <f t="shared" si="9"/>
        <v>3.349730971</v>
      </c>
    </row>
    <row r="15" ht="14.25" customHeight="1">
      <c r="A15" s="19" t="s">
        <v>463</v>
      </c>
      <c r="B15" s="20" t="s">
        <v>464</v>
      </c>
      <c r="E15" s="19" t="s">
        <v>458</v>
      </c>
      <c r="F15" s="19" t="s">
        <v>465</v>
      </c>
      <c r="G15" s="21">
        <v>138.0</v>
      </c>
      <c r="H15" s="21">
        <v>196.0</v>
      </c>
      <c r="I15" s="21">
        <v>100.0</v>
      </c>
      <c r="J15" s="21">
        <f t="shared" si="1"/>
        <v>190.44</v>
      </c>
      <c r="K15" s="21">
        <v>795.0</v>
      </c>
      <c r="L15" s="20" t="s">
        <v>446</v>
      </c>
      <c r="M15" s="21">
        <f>18.9+16.12+10.21+27.79+20.31</f>
        <v>93.33</v>
      </c>
      <c r="N15" s="21">
        <f t="shared" si="2"/>
        <v>306.2007972</v>
      </c>
      <c r="O15" s="21">
        <v>0.0242</v>
      </c>
      <c r="P15" s="21">
        <f t="shared" si="3"/>
        <v>0.07939632546</v>
      </c>
      <c r="Q15" s="21">
        <v>0.482</v>
      </c>
      <c r="R15" s="21">
        <v>0.0756</v>
      </c>
      <c r="S15" s="21">
        <f t="shared" si="4"/>
        <v>0.2480314961</v>
      </c>
      <c r="T15" s="19" t="str">
        <f t="shared" si="5"/>
        <v>0.0793963254593176+248031.496062992i</v>
      </c>
      <c r="U15" s="19" t="str">
        <f t="shared" si="6"/>
        <v>1.29058536995032E-12-0.00000403174603174562i</v>
      </c>
      <c r="V15" s="21">
        <f t="shared" si="7"/>
        <v>-0.000004031746032</v>
      </c>
      <c r="W15" s="22">
        <f t="shared" si="8"/>
        <v>-10.6945385</v>
      </c>
      <c r="X15" s="21">
        <f t="shared" si="9"/>
        <v>7.410059055</v>
      </c>
    </row>
    <row r="16" ht="14.25" customHeight="1">
      <c r="A16" s="19" t="s">
        <v>466</v>
      </c>
      <c r="B16" s="20" t="s">
        <v>449</v>
      </c>
      <c r="E16" s="19" t="s">
        <v>467</v>
      </c>
      <c r="F16" s="19" t="s">
        <v>458</v>
      </c>
      <c r="G16" s="21">
        <v>138.0</v>
      </c>
      <c r="H16" s="21">
        <v>409.0</v>
      </c>
      <c r="I16" s="21">
        <v>100.0</v>
      </c>
      <c r="J16" s="21">
        <f t="shared" si="1"/>
        <v>190.44</v>
      </c>
      <c r="K16" s="21">
        <v>795.0</v>
      </c>
      <c r="L16" s="20" t="s">
        <v>446</v>
      </c>
      <c r="M16" s="21">
        <v>17.15</v>
      </c>
      <c r="N16" s="21">
        <f t="shared" si="2"/>
        <v>56.266406</v>
      </c>
      <c r="O16" s="21">
        <v>0.0242</v>
      </c>
      <c r="P16" s="21">
        <f t="shared" si="3"/>
        <v>0.07939632546</v>
      </c>
      <c r="Q16" s="21">
        <v>0.482</v>
      </c>
      <c r="R16" s="21">
        <v>0.0756</v>
      </c>
      <c r="S16" s="21">
        <f t="shared" si="4"/>
        <v>0.2480314961</v>
      </c>
      <c r="T16" s="19" t="str">
        <f t="shared" si="5"/>
        <v>0.0793963254593176+248031.496062992i</v>
      </c>
      <c r="U16" s="19" t="str">
        <f t="shared" si="6"/>
        <v>1.29058536995032E-12-0.00000403174603174562i</v>
      </c>
      <c r="V16" s="21">
        <f t="shared" si="7"/>
        <v>-0.000004031746032</v>
      </c>
      <c r="W16" s="22">
        <f t="shared" si="8"/>
        <v>-10.6945385</v>
      </c>
      <c r="X16" s="21">
        <f t="shared" si="9"/>
        <v>1.361646982</v>
      </c>
    </row>
    <row r="17" ht="14.25" customHeight="1">
      <c r="A17" s="19" t="s">
        <v>468</v>
      </c>
      <c r="E17" s="19" t="s">
        <v>467</v>
      </c>
      <c r="F17" s="19" t="s">
        <v>458</v>
      </c>
      <c r="G17" s="21">
        <v>138.0</v>
      </c>
      <c r="H17" s="21">
        <v>409.0</v>
      </c>
      <c r="I17" s="21">
        <v>100.0</v>
      </c>
      <c r="J17" s="21">
        <f t="shared" si="1"/>
        <v>190.44</v>
      </c>
      <c r="K17" s="21">
        <v>795.0</v>
      </c>
      <c r="L17" s="20" t="s">
        <v>446</v>
      </c>
      <c r="M17" s="21">
        <v>17.15</v>
      </c>
      <c r="N17" s="21">
        <f t="shared" si="2"/>
        <v>56.266406</v>
      </c>
      <c r="O17" s="21">
        <v>0.0242</v>
      </c>
      <c r="P17" s="21">
        <f t="shared" si="3"/>
        <v>0.07939632546</v>
      </c>
      <c r="Q17" s="21">
        <v>0.482</v>
      </c>
      <c r="R17" s="21">
        <v>0.0756</v>
      </c>
      <c r="S17" s="21">
        <f t="shared" si="4"/>
        <v>0.2480314961</v>
      </c>
      <c r="T17" s="19" t="str">
        <f t="shared" si="5"/>
        <v>0.0793963254593176+248031.496062992i</v>
      </c>
      <c r="U17" s="19" t="str">
        <f t="shared" si="6"/>
        <v>1.29058536995032E-12-0.00000403174603174562i</v>
      </c>
      <c r="V17" s="21">
        <f t="shared" si="7"/>
        <v>-0.000004031746032</v>
      </c>
      <c r="W17" s="22">
        <f t="shared" si="8"/>
        <v>-10.6945385</v>
      </c>
      <c r="X17" s="21">
        <f t="shared" si="9"/>
        <v>1.361646982</v>
      </c>
    </row>
    <row r="18" ht="14.25" customHeight="1">
      <c r="A18" s="19" t="s">
        <v>469</v>
      </c>
      <c r="E18" s="19" t="s">
        <v>458</v>
      </c>
      <c r="F18" s="19" t="s">
        <v>470</v>
      </c>
      <c r="G18" s="21">
        <v>69.0</v>
      </c>
      <c r="H18" s="21">
        <v>63.0</v>
      </c>
      <c r="I18" s="21">
        <v>100.0</v>
      </c>
      <c r="J18" s="21">
        <f t="shared" si="1"/>
        <v>47.61</v>
      </c>
      <c r="K18" s="21">
        <v>795.0</v>
      </c>
      <c r="L18" s="20" t="s">
        <v>446</v>
      </c>
      <c r="M18" s="22">
        <v>12.5</v>
      </c>
      <c r="N18" s="21">
        <f t="shared" si="2"/>
        <v>41.0105</v>
      </c>
      <c r="O18" s="21">
        <v>0.0242</v>
      </c>
      <c r="P18" s="21">
        <f t="shared" si="3"/>
        <v>0.07939632546</v>
      </c>
      <c r="Q18" s="21">
        <v>0.482</v>
      </c>
      <c r="R18" s="21">
        <v>0.0756</v>
      </c>
      <c r="S18" s="21">
        <f t="shared" si="4"/>
        <v>0.2480314961</v>
      </c>
      <c r="T18" s="19" t="str">
        <f t="shared" si="5"/>
        <v>0.0793963254593176+248031.496062992i</v>
      </c>
      <c r="U18" s="19" t="str">
        <f t="shared" si="6"/>
        <v>1.29058536995032E-12-0.00000403174603174562i</v>
      </c>
      <c r="V18" s="21">
        <f t="shared" si="7"/>
        <v>-0.000004031746032</v>
      </c>
      <c r="W18" s="22">
        <f t="shared" si="8"/>
        <v>-10.6945385</v>
      </c>
      <c r="X18" s="21">
        <f t="shared" si="9"/>
        <v>0.9924540682</v>
      </c>
    </row>
    <row r="19" ht="14.25" customHeight="1">
      <c r="A19" s="19" t="s">
        <v>471</v>
      </c>
      <c r="E19" s="19" t="s">
        <v>470</v>
      </c>
      <c r="F19" s="19" t="s">
        <v>472</v>
      </c>
      <c r="G19" s="21">
        <v>69.0</v>
      </c>
      <c r="H19" s="21">
        <v>63.0</v>
      </c>
      <c r="I19" s="21">
        <v>100.0</v>
      </c>
      <c r="J19" s="21">
        <f t="shared" si="1"/>
        <v>47.61</v>
      </c>
      <c r="K19" s="21">
        <v>795.0</v>
      </c>
      <c r="L19" s="20" t="s">
        <v>446</v>
      </c>
      <c r="M19" s="22">
        <v>7.5</v>
      </c>
      <c r="N19" s="21">
        <f t="shared" si="2"/>
        <v>24.6063</v>
      </c>
      <c r="O19" s="21">
        <v>0.0242</v>
      </c>
      <c r="P19" s="21">
        <f t="shared" si="3"/>
        <v>0.07939632546</v>
      </c>
      <c r="Q19" s="21">
        <v>0.482</v>
      </c>
      <c r="R19" s="21">
        <v>0.0756</v>
      </c>
      <c r="S19" s="21">
        <f t="shared" si="4"/>
        <v>0.2480314961</v>
      </c>
      <c r="T19" s="19" t="str">
        <f t="shared" si="5"/>
        <v>0.0793963254593176+248031.496062992i</v>
      </c>
      <c r="U19" s="19" t="str">
        <f t="shared" si="6"/>
        <v>1.29058536995032E-12-0.00000403174603174562i</v>
      </c>
      <c r="V19" s="21">
        <f t="shared" si="7"/>
        <v>-0.000004031746032</v>
      </c>
      <c r="W19" s="22">
        <f t="shared" si="8"/>
        <v>-10.6945385</v>
      </c>
      <c r="X19" s="21">
        <f t="shared" si="9"/>
        <v>0.5954724409</v>
      </c>
    </row>
    <row r="20" ht="14.25" customHeight="1">
      <c r="A20" s="23" t="s">
        <v>102</v>
      </c>
    </row>
    <row r="21" ht="14.25" customHeight="1">
      <c r="A21" s="19" t="s">
        <v>473</v>
      </c>
      <c r="B21" s="24" t="s">
        <v>449</v>
      </c>
      <c r="E21" s="19" t="s">
        <v>474</v>
      </c>
      <c r="F21" s="19" t="s">
        <v>452</v>
      </c>
      <c r="G21" s="21">
        <v>230.0</v>
      </c>
      <c r="H21" s="21">
        <v>444.0</v>
      </c>
      <c r="I21" s="21">
        <v>100.0</v>
      </c>
      <c r="J21" s="21">
        <f t="shared" ref="J21:J48" si="11">((G21*1000)^2)/(I21*1000000)</f>
        <v>529</v>
      </c>
      <c r="K21" s="25">
        <v>795.0</v>
      </c>
      <c r="L21" s="25" t="s">
        <v>446</v>
      </c>
      <c r="M21" s="21">
        <v>18.5</v>
      </c>
      <c r="N21" s="21">
        <f t="shared" ref="N21:N48" si="12">M21*3.28084</f>
        <v>60.69554</v>
      </c>
      <c r="O21" s="21">
        <v>0.0242</v>
      </c>
      <c r="P21" s="21">
        <f t="shared" ref="P21:P48" si="13">O21/0.3048</f>
        <v>0.07939632546</v>
      </c>
      <c r="Q21" s="21">
        <v>0.482</v>
      </c>
      <c r="R21" s="21">
        <v>0.0756</v>
      </c>
      <c r="S21" s="21">
        <f t="shared" ref="S21:S48" si="14">R21/0.3048</f>
        <v>0.2480314961</v>
      </c>
      <c r="T21" s="19" t="str">
        <f t="shared" ref="T21:T48" si="15">COMPLEX(P21,S21*1000000,"i")</f>
        <v>0.0793963254593176+248031.496062992i</v>
      </c>
      <c r="U21" s="19" t="str">
        <f t="shared" ref="U21:U48" si="16">IMDIV(1,T21)</f>
        <v>1.29058536995032E-12-0.00000403174603174562i</v>
      </c>
      <c r="V21" s="21">
        <f t="shared" ref="V21:V48" si="17">IMAGINARY(U21)</f>
        <v>-0.000004031746032</v>
      </c>
      <c r="W21" s="22">
        <f t="shared" ref="W21:W48" si="18">(V21/(2*PI()*(60)))*1000000000</f>
        <v>-10.6945385</v>
      </c>
      <c r="X21" s="21">
        <f t="shared" ref="X21:X48" si="19">P21*M21</f>
        <v>1.468832021</v>
      </c>
    </row>
    <row r="22" ht="14.25" customHeight="1">
      <c r="A22" s="19" t="s">
        <v>475</v>
      </c>
      <c r="E22" s="19" t="s">
        <v>474</v>
      </c>
      <c r="F22" s="19" t="s">
        <v>452</v>
      </c>
      <c r="G22" s="21">
        <v>230.0</v>
      </c>
      <c r="H22" s="21">
        <v>444.0</v>
      </c>
      <c r="I22" s="21">
        <v>100.0</v>
      </c>
      <c r="J22" s="21">
        <f t="shared" si="11"/>
        <v>529</v>
      </c>
      <c r="K22" s="25">
        <v>795.0</v>
      </c>
      <c r="L22" s="25" t="s">
        <v>446</v>
      </c>
      <c r="M22" s="21">
        <v>18.5</v>
      </c>
      <c r="N22" s="21">
        <f t="shared" si="12"/>
        <v>60.69554</v>
      </c>
      <c r="O22" s="21">
        <v>0.0242</v>
      </c>
      <c r="P22" s="21">
        <f t="shared" si="13"/>
        <v>0.07939632546</v>
      </c>
      <c r="Q22" s="21">
        <v>0.482</v>
      </c>
      <c r="R22" s="21">
        <v>0.0756</v>
      </c>
      <c r="S22" s="21">
        <f t="shared" si="14"/>
        <v>0.2480314961</v>
      </c>
      <c r="T22" s="19" t="str">
        <f t="shared" si="15"/>
        <v>0.0793963254593176+248031.496062992i</v>
      </c>
      <c r="U22" s="19" t="str">
        <f t="shared" si="16"/>
        <v>1.29058536995032E-12-0.00000403174603174562i</v>
      </c>
      <c r="V22" s="21">
        <f t="shared" si="17"/>
        <v>-0.000004031746032</v>
      </c>
      <c r="W22" s="22">
        <f t="shared" si="18"/>
        <v>-10.6945385</v>
      </c>
      <c r="X22" s="21">
        <f t="shared" si="19"/>
        <v>1.468832021</v>
      </c>
    </row>
    <row r="23" ht="14.25" customHeight="1">
      <c r="A23" s="19" t="s">
        <v>476</v>
      </c>
      <c r="E23" s="19" t="s">
        <v>474</v>
      </c>
      <c r="F23" s="19" t="s">
        <v>477</v>
      </c>
      <c r="G23" s="21">
        <v>230.0</v>
      </c>
      <c r="H23" s="21">
        <v>638.0</v>
      </c>
      <c r="I23" s="21">
        <v>100.0</v>
      </c>
      <c r="J23" s="21">
        <f t="shared" si="11"/>
        <v>529</v>
      </c>
      <c r="K23" s="25">
        <v>795.0</v>
      </c>
      <c r="L23" s="25" t="s">
        <v>446</v>
      </c>
      <c r="M23" s="21">
        <v>1.0</v>
      </c>
      <c r="N23" s="21">
        <f t="shared" si="12"/>
        <v>3.28084</v>
      </c>
      <c r="O23" s="21">
        <v>0.0242</v>
      </c>
      <c r="P23" s="21">
        <f t="shared" si="13"/>
        <v>0.07939632546</v>
      </c>
      <c r="Q23" s="21">
        <v>0.482</v>
      </c>
      <c r="R23" s="21">
        <v>0.0756</v>
      </c>
      <c r="S23" s="21">
        <f t="shared" si="14"/>
        <v>0.2480314961</v>
      </c>
      <c r="T23" s="19" t="str">
        <f t="shared" si="15"/>
        <v>0.0793963254593176+248031.496062992i</v>
      </c>
      <c r="U23" s="19" t="str">
        <f t="shared" si="16"/>
        <v>1.29058536995032E-12-0.00000403174603174562i</v>
      </c>
      <c r="V23" s="21">
        <f t="shared" si="17"/>
        <v>-0.000004031746032</v>
      </c>
      <c r="W23" s="22">
        <f t="shared" si="18"/>
        <v>-10.6945385</v>
      </c>
      <c r="X23" s="21">
        <f t="shared" si="19"/>
        <v>0.07939632546</v>
      </c>
    </row>
    <row r="24" ht="14.25" customHeight="1">
      <c r="A24" s="19" t="s">
        <v>478</v>
      </c>
      <c r="E24" s="19" t="s">
        <v>474</v>
      </c>
      <c r="F24" s="19" t="s">
        <v>477</v>
      </c>
      <c r="G24" s="21">
        <v>230.0</v>
      </c>
      <c r="H24" s="21">
        <v>638.0</v>
      </c>
      <c r="I24" s="21">
        <v>100.0</v>
      </c>
      <c r="J24" s="21">
        <f t="shared" si="11"/>
        <v>529</v>
      </c>
      <c r="K24" s="25">
        <v>795.0</v>
      </c>
      <c r="L24" s="25" t="s">
        <v>446</v>
      </c>
      <c r="M24" s="21">
        <v>1.0</v>
      </c>
      <c r="N24" s="21">
        <f t="shared" si="12"/>
        <v>3.28084</v>
      </c>
      <c r="O24" s="21">
        <v>0.0242</v>
      </c>
      <c r="P24" s="21">
        <f t="shared" si="13"/>
        <v>0.07939632546</v>
      </c>
      <c r="Q24" s="21">
        <v>0.482</v>
      </c>
      <c r="R24" s="21">
        <v>0.0756</v>
      </c>
      <c r="S24" s="21">
        <f t="shared" si="14"/>
        <v>0.2480314961</v>
      </c>
      <c r="T24" s="19" t="str">
        <f t="shared" si="15"/>
        <v>0.0793963254593176+248031.496062992i</v>
      </c>
      <c r="U24" s="19" t="str">
        <f t="shared" si="16"/>
        <v>1.29058536995032E-12-0.00000403174603174562i</v>
      </c>
      <c r="V24" s="21">
        <f t="shared" si="17"/>
        <v>-0.000004031746032</v>
      </c>
      <c r="W24" s="22">
        <f t="shared" si="18"/>
        <v>-10.6945385</v>
      </c>
      <c r="X24" s="21">
        <f t="shared" si="19"/>
        <v>0.07939632546</v>
      </c>
    </row>
    <row r="25" ht="14.25" customHeight="1">
      <c r="A25" s="19" t="s">
        <v>479</v>
      </c>
      <c r="E25" s="19" t="s">
        <v>477</v>
      </c>
      <c r="F25" s="19" t="s">
        <v>480</v>
      </c>
      <c r="G25" s="21">
        <v>230.0</v>
      </c>
      <c r="H25" s="21">
        <v>638.0</v>
      </c>
      <c r="I25" s="21">
        <v>100.0</v>
      </c>
      <c r="J25" s="21">
        <f t="shared" si="11"/>
        <v>529</v>
      </c>
      <c r="K25" s="25">
        <v>795.0</v>
      </c>
      <c r="L25" s="25" t="s">
        <v>446</v>
      </c>
      <c r="M25" s="21">
        <v>29.0</v>
      </c>
      <c r="N25" s="21">
        <f t="shared" si="12"/>
        <v>95.14436</v>
      </c>
      <c r="O25" s="21">
        <v>0.0242</v>
      </c>
      <c r="P25" s="21">
        <f t="shared" si="13"/>
        <v>0.07939632546</v>
      </c>
      <c r="Q25" s="21">
        <v>0.482</v>
      </c>
      <c r="R25" s="21">
        <v>0.0756</v>
      </c>
      <c r="S25" s="21">
        <f t="shared" si="14"/>
        <v>0.2480314961</v>
      </c>
      <c r="T25" s="19" t="str">
        <f t="shared" si="15"/>
        <v>0.0793963254593176+248031.496062992i</v>
      </c>
      <c r="U25" s="19" t="str">
        <f t="shared" si="16"/>
        <v>1.29058536995032E-12-0.00000403174603174562i</v>
      </c>
      <c r="V25" s="21">
        <f t="shared" si="17"/>
        <v>-0.000004031746032</v>
      </c>
      <c r="W25" s="22">
        <f t="shared" si="18"/>
        <v>-10.6945385</v>
      </c>
      <c r="X25" s="21">
        <f t="shared" si="19"/>
        <v>2.302493438</v>
      </c>
    </row>
    <row r="26" ht="14.25" customHeight="1">
      <c r="A26" s="19" t="s">
        <v>481</v>
      </c>
      <c r="E26" s="19" t="s">
        <v>477</v>
      </c>
      <c r="F26" s="19" t="s">
        <v>480</v>
      </c>
      <c r="G26" s="21">
        <v>230.0</v>
      </c>
      <c r="H26" s="21">
        <v>638.0</v>
      </c>
      <c r="I26" s="21">
        <v>100.0</v>
      </c>
      <c r="J26" s="21">
        <f t="shared" si="11"/>
        <v>529</v>
      </c>
      <c r="K26" s="25">
        <v>795.0</v>
      </c>
      <c r="L26" s="25" t="s">
        <v>446</v>
      </c>
      <c r="M26" s="21">
        <v>29.0</v>
      </c>
      <c r="N26" s="21">
        <f t="shared" si="12"/>
        <v>95.14436</v>
      </c>
      <c r="O26" s="21">
        <v>0.0242</v>
      </c>
      <c r="P26" s="21">
        <f t="shared" si="13"/>
        <v>0.07939632546</v>
      </c>
      <c r="Q26" s="21">
        <v>0.482</v>
      </c>
      <c r="R26" s="21">
        <v>0.0756</v>
      </c>
      <c r="S26" s="21">
        <f t="shared" si="14"/>
        <v>0.2480314961</v>
      </c>
      <c r="T26" s="19" t="str">
        <f t="shared" si="15"/>
        <v>0.0793963254593176+248031.496062992i</v>
      </c>
      <c r="U26" s="19" t="str">
        <f t="shared" si="16"/>
        <v>1.29058536995032E-12-0.00000403174603174562i</v>
      </c>
      <c r="V26" s="21">
        <f t="shared" si="17"/>
        <v>-0.000004031746032</v>
      </c>
      <c r="W26" s="22">
        <f t="shared" si="18"/>
        <v>-10.6945385</v>
      </c>
      <c r="X26" s="21">
        <f t="shared" si="19"/>
        <v>2.302493438</v>
      </c>
    </row>
    <row r="27" ht="14.25" customHeight="1">
      <c r="A27" s="19" t="s">
        <v>482</v>
      </c>
      <c r="E27" s="19" t="s">
        <v>483</v>
      </c>
      <c r="F27" s="19" t="s">
        <v>477</v>
      </c>
      <c r="G27" s="21">
        <v>230.0</v>
      </c>
      <c r="H27" s="21">
        <v>1276.0</v>
      </c>
      <c r="I27" s="21">
        <v>100.0</v>
      </c>
      <c r="J27" s="21">
        <f t="shared" si="11"/>
        <v>529</v>
      </c>
      <c r="K27" s="25">
        <v>795.0</v>
      </c>
      <c r="L27" s="25" t="s">
        <v>446</v>
      </c>
      <c r="M27" s="21">
        <v>36.0</v>
      </c>
      <c r="N27" s="21">
        <f t="shared" si="12"/>
        <v>118.11024</v>
      </c>
      <c r="O27" s="21">
        <v>0.0242</v>
      </c>
      <c r="P27" s="21">
        <f t="shared" si="13"/>
        <v>0.07939632546</v>
      </c>
      <c r="Q27" s="21">
        <v>0.482</v>
      </c>
      <c r="R27" s="21">
        <v>0.0756</v>
      </c>
      <c r="S27" s="21">
        <f t="shared" si="14"/>
        <v>0.2480314961</v>
      </c>
      <c r="T27" s="19" t="str">
        <f t="shared" si="15"/>
        <v>0.0793963254593176+248031.496062992i</v>
      </c>
      <c r="U27" s="19" t="str">
        <f t="shared" si="16"/>
        <v>1.29058536995032E-12-0.00000403174603174562i</v>
      </c>
      <c r="V27" s="21">
        <f t="shared" si="17"/>
        <v>-0.000004031746032</v>
      </c>
      <c r="W27" s="22">
        <f t="shared" si="18"/>
        <v>-10.6945385</v>
      </c>
      <c r="X27" s="21">
        <f t="shared" si="19"/>
        <v>2.858267717</v>
      </c>
    </row>
    <row r="28" ht="14.25" customHeight="1">
      <c r="A28" s="19" t="s">
        <v>484</v>
      </c>
      <c r="E28" s="19" t="s">
        <v>483</v>
      </c>
      <c r="F28" s="19" t="s">
        <v>477</v>
      </c>
      <c r="G28" s="21">
        <v>230.0</v>
      </c>
      <c r="H28" s="21">
        <v>1276.0</v>
      </c>
      <c r="I28" s="21">
        <v>100.0</v>
      </c>
      <c r="J28" s="21">
        <f t="shared" si="11"/>
        <v>529</v>
      </c>
      <c r="K28" s="25">
        <v>795.0</v>
      </c>
      <c r="L28" s="25" t="s">
        <v>446</v>
      </c>
      <c r="M28" s="21">
        <v>36.0</v>
      </c>
      <c r="N28" s="21">
        <f t="shared" si="12"/>
        <v>118.11024</v>
      </c>
      <c r="O28" s="21">
        <v>0.0242</v>
      </c>
      <c r="P28" s="21">
        <f t="shared" si="13"/>
        <v>0.07939632546</v>
      </c>
      <c r="Q28" s="21">
        <v>0.482</v>
      </c>
      <c r="R28" s="21">
        <v>0.0756</v>
      </c>
      <c r="S28" s="21">
        <f t="shared" si="14"/>
        <v>0.2480314961</v>
      </c>
      <c r="T28" s="19" t="str">
        <f t="shared" si="15"/>
        <v>0.0793963254593176+248031.496062992i</v>
      </c>
      <c r="U28" s="19" t="str">
        <f t="shared" si="16"/>
        <v>1.29058536995032E-12-0.00000403174603174562i</v>
      </c>
      <c r="V28" s="21">
        <f t="shared" si="17"/>
        <v>-0.000004031746032</v>
      </c>
      <c r="W28" s="22">
        <f t="shared" si="18"/>
        <v>-10.6945385</v>
      </c>
      <c r="X28" s="21">
        <f t="shared" si="19"/>
        <v>2.858267717</v>
      </c>
    </row>
    <row r="29" ht="14.25" customHeight="1">
      <c r="A29" s="19" t="s">
        <v>485</v>
      </c>
      <c r="B29" s="19" t="s">
        <v>486</v>
      </c>
      <c r="C29" s="20">
        <v>103.0</v>
      </c>
      <c r="D29" s="20" t="s">
        <v>487</v>
      </c>
      <c r="E29" s="19" t="s">
        <v>247</v>
      </c>
      <c r="F29" s="19" t="s">
        <v>483</v>
      </c>
      <c r="G29" s="21">
        <v>230.0</v>
      </c>
      <c r="H29" s="21">
        <v>1276.0</v>
      </c>
      <c r="I29" s="21">
        <v>100.0</v>
      </c>
      <c r="J29" s="21">
        <f t="shared" si="11"/>
        <v>529</v>
      </c>
      <c r="K29" s="25">
        <v>795.0</v>
      </c>
      <c r="L29" s="20" t="s">
        <v>446</v>
      </c>
      <c r="M29" s="21">
        <v>80.0</v>
      </c>
      <c r="N29" s="21">
        <f t="shared" si="12"/>
        <v>262.4672</v>
      </c>
      <c r="O29" s="21">
        <v>0.0242</v>
      </c>
      <c r="P29" s="21">
        <f t="shared" si="13"/>
        <v>0.07939632546</v>
      </c>
      <c r="Q29" s="21">
        <v>0.482</v>
      </c>
      <c r="R29" s="21">
        <v>0.0756</v>
      </c>
      <c r="S29" s="21">
        <f t="shared" si="14"/>
        <v>0.2480314961</v>
      </c>
      <c r="T29" s="19" t="str">
        <f t="shared" si="15"/>
        <v>0.0793963254593176+248031.496062992i</v>
      </c>
      <c r="U29" s="19" t="str">
        <f t="shared" si="16"/>
        <v>1.29058536995032E-12-0.00000403174603174562i</v>
      </c>
      <c r="V29" s="21">
        <f t="shared" si="17"/>
        <v>-0.000004031746032</v>
      </c>
      <c r="W29" s="22">
        <f t="shared" si="18"/>
        <v>-10.6945385</v>
      </c>
      <c r="X29" s="21">
        <f t="shared" si="19"/>
        <v>6.351706037</v>
      </c>
    </row>
    <row r="30" ht="14.25" customHeight="1">
      <c r="A30" s="19" t="s">
        <v>488</v>
      </c>
      <c r="E30" s="19" t="s">
        <v>247</v>
      </c>
      <c r="F30" s="19" t="s">
        <v>483</v>
      </c>
      <c r="G30" s="21">
        <v>230.0</v>
      </c>
      <c r="H30" s="21">
        <v>1276.0</v>
      </c>
      <c r="I30" s="21">
        <v>100.0</v>
      </c>
      <c r="J30" s="21">
        <f t="shared" si="11"/>
        <v>529</v>
      </c>
      <c r="K30" s="25">
        <v>795.0</v>
      </c>
      <c r="L30" s="20" t="s">
        <v>446</v>
      </c>
      <c r="M30" s="21">
        <v>80.0</v>
      </c>
      <c r="N30" s="21">
        <f t="shared" si="12"/>
        <v>262.4672</v>
      </c>
      <c r="O30" s="21">
        <v>0.0242</v>
      </c>
      <c r="P30" s="21">
        <f t="shared" si="13"/>
        <v>0.07939632546</v>
      </c>
      <c r="Q30" s="21">
        <v>0.482</v>
      </c>
      <c r="R30" s="21">
        <v>0.0756</v>
      </c>
      <c r="S30" s="21">
        <f t="shared" si="14"/>
        <v>0.2480314961</v>
      </c>
      <c r="T30" s="19" t="str">
        <f t="shared" si="15"/>
        <v>0.0793963254593176+248031.496062992i</v>
      </c>
      <c r="U30" s="19" t="str">
        <f t="shared" si="16"/>
        <v>1.29058536995032E-12-0.00000403174603174562i</v>
      </c>
      <c r="V30" s="21">
        <f t="shared" si="17"/>
        <v>-0.000004031746032</v>
      </c>
      <c r="W30" s="22">
        <f t="shared" si="18"/>
        <v>-10.6945385</v>
      </c>
      <c r="X30" s="21">
        <f t="shared" si="19"/>
        <v>6.351706037</v>
      </c>
    </row>
    <row r="31" ht="14.25" customHeight="1">
      <c r="A31" s="19" t="s">
        <v>489</v>
      </c>
      <c r="B31" s="24" t="s">
        <v>449</v>
      </c>
      <c r="E31" s="19" t="s">
        <v>490</v>
      </c>
      <c r="F31" s="19" t="s">
        <v>483</v>
      </c>
      <c r="G31" s="21">
        <v>138.0</v>
      </c>
      <c r="H31" s="21">
        <v>196.0</v>
      </c>
      <c r="I31" s="21">
        <v>100.0</v>
      </c>
      <c r="J31" s="21">
        <f t="shared" si="11"/>
        <v>190.44</v>
      </c>
      <c r="K31" s="25">
        <v>795.0</v>
      </c>
      <c r="L31" s="20" t="s">
        <v>446</v>
      </c>
      <c r="M31" s="21">
        <v>1.7</v>
      </c>
      <c r="N31" s="21">
        <f t="shared" si="12"/>
        <v>5.577428</v>
      </c>
      <c r="O31" s="21">
        <v>0.0242</v>
      </c>
      <c r="P31" s="21">
        <f t="shared" si="13"/>
        <v>0.07939632546</v>
      </c>
      <c r="Q31" s="25">
        <v>0.482</v>
      </c>
      <c r="R31" s="21">
        <v>0.0756</v>
      </c>
      <c r="S31" s="21">
        <f t="shared" si="14"/>
        <v>0.2480314961</v>
      </c>
      <c r="T31" s="19" t="str">
        <f t="shared" si="15"/>
        <v>0.0793963254593176+248031.496062992i</v>
      </c>
      <c r="U31" s="19" t="str">
        <f t="shared" si="16"/>
        <v>1.29058536995032E-12-0.00000403174603174562i</v>
      </c>
      <c r="V31" s="21">
        <f t="shared" si="17"/>
        <v>-0.000004031746032</v>
      </c>
      <c r="W31" s="22">
        <f t="shared" si="18"/>
        <v>-10.6945385</v>
      </c>
      <c r="X31" s="21">
        <f t="shared" si="19"/>
        <v>0.1349737533</v>
      </c>
    </row>
    <row r="32" ht="14.25" customHeight="1">
      <c r="A32" s="19" t="s">
        <v>491</v>
      </c>
      <c r="E32" s="19" t="s">
        <v>492</v>
      </c>
      <c r="F32" s="19" t="s">
        <v>247</v>
      </c>
      <c r="G32" s="21">
        <v>230.0</v>
      </c>
      <c r="H32" s="21">
        <v>196.0</v>
      </c>
      <c r="I32" s="21">
        <v>100.0</v>
      </c>
      <c r="J32" s="21">
        <f t="shared" si="11"/>
        <v>529</v>
      </c>
      <c r="K32" s="25">
        <v>795.0</v>
      </c>
      <c r="L32" s="20" t="s">
        <v>446</v>
      </c>
      <c r="M32" s="21">
        <v>1.3</v>
      </c>
      <c r="N32" s="21">
        <f t="shared" si="12"/>
        <v>4.265092</v>
      </c>
      <c r="O32" s="21">
        <v>0.0242</v>
      </c>
      <c r="P32" s="21">
        <f t="shared" si="13"/>
        <v>0.07939632546</v>
      </c>
      <c r="Q32" s="25">
        <v>0.482</v>
      </c>
      <c r="R32" s="21">
        <v>0.0756</v>
      </c>
      <c r="S32" s="21">
        <f t="shared" si="14"/>
        <v>0.2480314961</v>
      </c>
      <c r="T32" s="19" t="str">
        <f t="shared" si="15"/>
        <v>0.0793963254593176+248031.496062992i</v>
      </c>
      <c r="U32" s="19" t="str">
        <f t="shared" si="16"/>
        <v>1.29058536995032E-12-0.00000403174603174562i</v>
      </c>
      <c r="V32" s="21">
        <f t="shared" si="17"/>
        <v>-0.000004031746032</v>
      </c>
      <c r="W32" s="22">
        <f t="shared" si="18"/>
        <v>-10.6945385</v>
      </c>
      <c r="X32" s="21">
        <f t="shared" si="19"/>
        <v>0.1032152231</v>
      </c>
    </row>
    <row r="33" ht="14.25" customHeight="1">
      <c r="A33" s="19" t="s">
        <v>493</v>
      </c>
      <c r="E33" s="19" t="s">
        <v>492</v>
      </c>
      <c r="F33" s="19" t="s">
        <v>247</v>
      </c>
      <c r="G33" s="21">
        <v>230.0</v>
      </c>
      <c r="H33" s="21">
        <v>196.0</v>
      </c>
      <c r="I33" s="21">
        <v>100.0</v>
      </c>
      <c r="J33" s="21">
        <f t="shared" si="11"/>
        <v>529</v>
      </c>
      <c r="K33" s="25">
        <v>795.0</v>
      </c>
      <c r="L33" s="20" t="s">
        <v>446</v>
      </c>
      <c r="M33" s="21">
        <v>1.3</v>
      </c>
      <c r="N33" s="21">
        <f t="shared" si="12"/>
        <v>4.265092</v>
      </c>
      <c r="O33" s="21">
        <v>0.0242</v>
      </c>
      <c r="P33" s="21">
        <f t="shared" si="13"/>
        <v>0.07939632546</v>
      </c>
      <c r="Q33" s="25">
        <v>0.482</v>
      </c>
      <c r="R33" s="21">
        <v>0.0756</v>
      </c>
      <c r="S33" s="21">
        <f t="shared" si="14"/>
        <v>0.2480314961</v>
      </c>
      <c r="T33" s="19" t="str">
        <f t="shared" si="15"/>
        <v>0.0793963254593176+248031.496062992i</v>
      </c>
      <c r="U33" s="19" t="str">
        <f t="shared" si="16"/>
        <v>1.29058536995032E-12-0.00000403174603174562i</v>
      </c>
      <c r="V33" s="21">
        <f t="shared" si="17"/>
        <v>-0.000004031746032</v>
      </c>
      <c r="W33" s="22">
        <f t="shared" si="18"/>
        <v>-10.6945385</v>
      </c>
      <c r="X33" s="21">
        <f t="shared" si="19"/>
        <v>0.1032152231</v>
      </c>
    </row>
    <row r="34" ht="14.25" customHeight="1">
      <c r="A34" s="19" t="s">
        <v>494</v>
      </c>
      <c r="B34" s="19" t="s">
        <v>486</v>
      </c>
      <c r="C34" s="20">
        <v>103.0</v>
      </c>
      <c r="D34" s="20" t="s">
        <v>487</v>
      </c>
      <c r="E34" s="19" t="s">
        <v>247</v>
      </c>
      <c r="F34" s="19" t="s">
        <v>495</v>
      </c>
      <c r="G34" s="21">
        <v>69.0</v>
      </c>
      <c r="H34" s="21">
        <v>95.6</v>
      </c>
      <c r="I34" s="21">
        <v>100.0</v>
      </c>
      <c r="J34" s="21">
        <f t="shared" si="11"/>
        <v>47.61</v>
      </c>
      <c r="K34" s="25">
        <v>795.0</v>
      </c>
      <c r="L34" s="20" t="s">
        <v>446</v>
      </c>
      <c r="M34" s="21">
        <v>5.6</v>
      </c>
      <c r="N34" s="21">
        <f t="shared" si="12"/>
        <v>18.372704</v>
      </c>
      <c r="O34" s="21">
        <v>0.0242</v>
      </c>
      <c r="P34" s="21">
        <f t="shared" si="13"/>
        <v>0.07939632546</v>
      </c>
      <c r="Q34" s="21">
        <v>0.482</v>
      </c>
      <c r="R34" s="21">
        <v>0.0756</v>
      </c>
      <c r="S34" s="21">
        <f t="shared" si="14"/>
        <v>0.2480314961</v>
      </c>
      <c r="T34" s="19" t="str">
        <f t="shared" si="15"/>
        <v>0.0793963254593176+248031.496062992i</v>
      </c>
      <c r="U34" s="19" t="str">
        <f t="shared" si="16"/>
        <v>1.29058536995032E-12-0.00000403174603174562i</v>
      </c>
      <c r="V34" s="21">
        <f t="shared" si="17"/>
        <v>-0.000004031746032</v>
      </c>
      <c r="W34" s="22">
        <f t="shared" si="18"/>
        <v>-10.6945385</v>
      </c>
      <c r="X34" s="21">
        <f t="shared" si="19"/>
        <v>0.4446194226</v>
      </c>
    </row>
    <row r="35" ht="14.25" customHeight="1">
      <c r="A35" s="19" t="s">
        <v>496</v>
      </c>
      <c r="E35" s="19" t="s">
        <v>247</v>
      </c>
      <c r="F35" s="19" t="s">
        <v>495</v>
      </c>
      <c r="G35" s="21">
        <v>69.0</v>
      </c>
      <c r="H35" s="21">
        <v>95.6</v>
      </c>
      <c r="I35" s="21">
        <v>100.0</v>
      </c>
      <c r="J35" s="21">
        <f t="shared" si="11"/>
        <v>47.61</v>
      </c>
      <c r="K35" s="25">
        <v>795.0</v>
      </c>
      <c r="L35" s="20" t="s">
        <v>446</v>
      </c>
      <c r="M35" s="21">
        <v>5.6</v>
      </c>
      <c r="N35" s="21">
        <f t="shared" si="12"/>
        <v>18.372704</v>
      </c>
      <c r="O35" s="21">
        <v>0.0242</v>
      </c>
      <c r="P35" s="21">
        <f t="shared" si="13"/>
        <v>0.07939632546</v>
      </c>
      <c r="Q35" s="21">
        <v>0.482</v>
      </c>
      <c r="R35" s="21">
        <v>0.0756</v>
      </c>
      <c r="S35" s="21">
        <f t="shared" si="14"/>
        <v>0.2480314961</v>
      </c>
      <c r="T35" s="19" t="str">
        <f t="shared" si="15"/>
        <v>0.0793963254593176+248031.496062992i</v>
      </c>
      <c r="U35" s="19" t="str">
        <f t="shared" si="16"/>
        <v>1.29058536995032E-12-0.00000403174603174562i</v>
      </c>
      <c r="V35" s="21">
        <f t="shared" si="17"/>
        <v>-0.000004031746032</v>
      </c>
      <c r="W35" s="22">
        <f t="shared" si="18"/>
        <v>-10.6945385</v>
      </c>
      <c r="X35" s="21">
        <f t="shared" si="19"/>
        <v>0.4446194226</v>
      </c>
    </row>
    <row r="36" ht="14.25" customHeight="1">
      <c r="A36" s="19" t="s">
        <v>497</v>
      </c>
      <c r="B36" s="24" t="s">
        <v>449</v>
      </c>
      <c r="E36" s="19" t="s">
        <v>480</v>
      </c>
      <c r="F36" s="19" t="s">
        <v>483</v>
      </c>
      <c r="G36" s="21">
        <v>138.0</v>
      </c>
      <c r="H36" s="21">
        <v>196.0</v>
      </c>
      <c r="I36" s="21">
        <v>100.0</v>
      </c>
      <c r="J36" s="21">
        <f t="shared" si="11"/>
        <v>190.44</v>
      </c>
      <c r="K36" s="25">
        <v>795.0</v>
      </c>
      <c r="L36" s="20" t="s">
        <v>446</v>
      </c>
      <c r="M36" s="21">
        <v>47.5</v>
      </c>
      <c r="N36" s="21">
        <f t="shared" si="12"/>
        <v>155.8399</v>
      </c>
      <c r="O36" s="21">
        <v>0.0242</v>
      </c>
      <c r="P36" s="21">
        <f t="shared" si="13"/>
        <v>0.07939632546</v>
      </c>
      <c r="Q36" s="21">
        <v>0.482</v>
      </c>
      <c r="R36" s="21">
        <v>0.0756</v>
      </c>
      <c r="S36" s="21">
        <f t="shared" si="14"/>
        <v>0.2480314961</v>
      </c>
      <c r="T36" s="19" t="str">
        <f t="shared" si="15"/>
        <v>0.0793963254593176+248031.496062992i</v>
      </c>
      <c r="U36" s="19" t="str">
        <f t="shared" si="16"/>
        <v>1.29058536995032E-12-0.00000403174603174562i</v>
      </c>
      <c r="V36" s="21">
        <f t="shared" si="17"/>
        <v>-0.000004031746032</v>
      </c>
      <c r="W36" s="22">
        <f t="shared" si="18"/>
        <v>-10.6945385</v>
      </c>
      <c r="X36" s="21">
        <f t="shared" si="19"/>
        <v>3.771325459</v>
      </c>
    </row>
    <row r="37" ht="14.25" customHeight="1">
      <c r="A37" s="19" t="s">
        <v>498</v>
      </c>
      <c r="E37" s="19" t="s">
        <v>480</v>
      </c>
      <c r="F37" s="19" t="s">
        <v>483</v>
      </c>
      <c r="G37" s="21">
        <v>138.0</v>
      </c>
      <c r="H37" s="21">
        <v>196.0</v>
      </c>
      <c r="I37" s="21">
        <v>100.0</v>
      </c>
      <c r="J37" s="21">
        <f t="shared" si="11"/>
        <v>190.44</v>
      </c>
      <c r="K37" s="25">
        <v>795.0</v>
      </c>
      <c r="L37" s="20" t="s">
        <v>446</v>
      </c>
      <c r="M37" s="21">
        <v>47.5</v>
      </c>
      <c r="N37" s="21">
        <f t="shared" si="12"/>
        <v>155.8399</v>
      </c>
      <c r="O37" s="21">
        <v>0.0242</v>
      </c>
      <c r="P37" s="21">
        <f t="shared" si="13"/>
        <v>0.07939632546</v>
      </c>
      <c r="Q37" s="21">
        <v>0.482</v>
      </c>
      <c r="R37" s="21">
        <v>0.0756</v>
      </c>
      <c r="S37" s="21">
        <f t="shared" si="14"/>
        <v>0.2480314961</v>
      </c>
      <c r="T37" s="19" t="str">
        <f t="shared" si="15"/>
        <v>0.0793963254593176+248031.496062992i</v>
      </c>
      <c r="U37" s="19" t="str">
        <f t="shared" si="16"/>
        <v>1.29058536995032E-12-0.00000403174603174562i</v>
      </c>
      <c r="V37" s="21">
        <f t="shared" si="17"/>
        <v>-0.000004031746032</v>
      </c>
      <c r="W37" s="22">
        <f t="shared" si="18"/>
        <v>-10.6945385</v>
      </c>
      <c r="X37" s="21">
        <f t="shared" si="19"/>
        <v>3.771325459</v>
      </c>
    </row>
    <row r="38" ht="14.25" customHeight="1">
      <c r="A38" s="19" t="s">
        <v>499</v>
      </c>
      <c r="E38" s="19" t="s">
        <v>109</v>
      </c>
      <c r="F38" s="19" t="s">
        <v>480</v>
      </c>
      <c r="G38" s="21">
        <v>138.0</v>
      </c>
      <c r="H38" s="21">
        <v>196.0</v>
      </c>
      <c r="I38" s="21">
        <v>100.0</v>
      </c>
      <c r="J38" s="21">
        <f t="shared" si="11"/>
        <v>190.44</v>
      </c>
      <c r="K38" s="25">
        <v>795.0</v>
      </c>
      <c r="L38" s="20" t="s">
        <v>446</v>
      </c>
      <c r="M38" s="21">
        <v>70.0</v>
      </c>
      <c r="N38" s="21">
        <f t="shared" si="12"/>
        <v>229.6588</v>
      </c>
      <c r="O38" s="21">
        <v>0.0242</v>
      </c>
      <c r="P38" s="21">
        <f t="shared" si="13"/>
        <v>0.07939632546</v>
      </c>
      <c r="Q38" s="21">
        <v>0.482</v>
      </c>
      <c r="R38" s="21">
        <v>0.0756</v>
      </c>
      <c r="S38" s="21">
        <f t="shared" si="14"/>
        <v>0.2480314961</v>
      </c>
      <c r="T38" s="19" t="str">
        <f t="shared" si="15"/>
        <v>0.0793963254593176+248031.496062992i</v>
      </c>
      <c r="U38" s="19" t="str">
        <f t="shared" si="16"/>
        <v>1.29058536995032E-12-0.00000403174603174562i</v>
      </c>
      <c r="V38" s="21">
        <f t="shared" si="17"/>
        <v>-0.000004031746032</v>
      </c>
      <c r="W38" s="22">
        <f t="shared" si="18"/>
        <v>-10.6945385</v>
      </c>
      <c r="X38" s="21">
        <f t="shared" si="19"/>
        <v>5.557742782</v>
      </c>
    </row>
    <row r="39" ht="14.25" customHeight="1">
      <c r="A39" s="19" t="s">
        <v>500</v>
      </c>
      <c r="E39" s="19" t="s">
        <v>109</v>
      </c>
      <c r="F39" s="19" t="s">
        <v>480</v>
      </c>
      <c r="G39" s="21">
        <v>138.0</v>
      </c>
      <c r="H39" s="21">
        <v>196.0</v>
      </c>
      <c r="I39" s="21">
        <v>100.0</v>
      </c>
      <c r="J39" s="21">
        <f t="shared" si="11"/>
        <v>190.44</v>
      </c>
      <c r="K39" s="25">
        <v>795.0</v>
      </c>
      <c r="L39" s="20" t="s">
        <v>446</v>
      </c>
      <c r="M39" s="21">
        <v>70.0</v>
      </c>
      <c r="N39" s="21">
        <f t="shared" si="12"/>
        <v>229.6588</v>
      </c>
      <c r="O39" s="21">
        <v>0.0242</v>
      </c>
      <c r="P39" s="21">
        <f t="shared" si="13"/>
        <v>0.07939632546</v>
      </c>
      <c r="Q39" s="21">
        <v>0.482</v>
      </c>
      <c r="R39" s="21">
        <v>0.0756</v>
      </c>
      <c r="S39" s="21">
        <f t="shared" si="14"/>
        <v>0.2480314961</v>
      </c>
      <c r="T39" s="19" t="str">
        <f t="shared" si="15"/>
        <v>0.0793963254593176+248031.496062992i</v>
      </c>
      <c r="U39" s="19" t="str">
        <f t="shared" si="16"/>
        <v>1.29058536995032E-12-0.00000403174603174562i</v>
      </c>
      <c r="V39" s="21">
        <f t="shared" si="17"/>
        <v>-0.000004031746032</v>
      </c>
      <c r="W39" s="22">
        <f t="shared" si="18"/>
        <v>-10.6945385</v>
      </c>
      <c r="X39" s="21">
        <f t="shared" si="19"/>
        <v>5.557742782</v>
      </c>
    </row>
    <row r="40" ht="14.25" customHeight="1">
      <c r="A40" s="19" t="s">
        <v>501</v>
      </c>
      <c r="E40" s="19" t="s">
        <v>109</v>
      </c>
      <c r="F40" s="19" t="s">
        <v>502</v>
      </c>
      <c r="G40" s="21">
        <v>138.0</v>
      </c>
      <c r="H40" s="21">
        <v>196.0</v>
      </c>
      <c r="I40" s="21">
        <v>100.0</v>
      </c>
      <c r="J40" s="21">
        <f t="shared" si="11"/>
        <v>190.44</v>
      </c>
      <c r="K40" s="25">
        <v>795.0</v>
      </c>
      <c r="L40" s="20" t="s">
        <v>446</v>
      </c>
      <c r="M40" s="21">
        <v>0.11</v>
      </c>
      <c r="N40" s="21">
        <f t="shared" si="12"/>
        <v>0.3608924</v>
      </c>
      <c r="O40" s="21">
        <v>0.0242</v>
      </c>
      <c r="P40" s="21">
        <f t="shared" si="13"/>
        <v>0.07939632546</v>
      </c>
      <c r="Q40" s="21">
        <v>0.482</v>
      </c>
      <c r="R40" s="21">
        <v>0.0756</v>
      </c>
      <c r="S40" s="21">
        <f t="shared" si="14"/>
        <v>0.2480314961</v>
      </c>
      <c r="T40" s="19" t="str">
        <f t="shared" si="15"/>
        <v>0.0793963254593176+248031.496062992i</v>
      </c>
      <c r="U40" s="19" t="str">
        <f t="shared" si="16"/>
        <v>1.29058536995032E-12-0.00000403174603174562i</v>
      </c>
      <c r="V40" s="21">
        <f t="shared" si="17"/>
        <v>-0.000004031746032</v>
      </c>
      <c r="W40" s="22">
        <f t="shared" si="18"/>
        <v>-10.6945385</v>
      </c>
      <c r="X40" s="21">
        <f t="shared" si="19"/>
        <v>0.008733595801</v>
      </c>
    </row>
    <row r="41" ht="14.25" customHeight="1">
      <c r="A41" s="19" t="s">
        <v>503</v>
      </c>
      <c r="E41" s="19" t="s">
        <v>109</v>
      </c>
      <c r="F41" s="19" t="s">
        <v>504</v>
      </c>
      <c r="G41" s="21">
        <v>138.0</v>
      </c>
      <c r="H41" s="21">
        <v>196.0</v>
      </c>
      <c r="I41" s="21">
        <v>100.0</v>
      </c>
      <c r="J41" s="21">
        <f t="shared" si="11"/>
        <v>190.44</v>
      </c>
      <c r="K41" s="25">
        <v>795.0</v>
      </c>
      <c r="L41" s="20" t="s">
        <v>446</v>
      </c>
      <c r="M41" s="21">
        <v>33.5</v>
      </c>
      <c r="N41" s="21">
        <f t="shared" si="12"/>
        <v>109.90814</v>
      </c>
      <c r="O41" s="21">
        <v>0.0242</v>
      </c>
      <c r="P41" s="21">
        <f t="shared" si="13"/>
        <v>0.07939632546</v>
      </c>
      <c r="Q41" s="21">
        <v>0.482</v>
      </c>
      <c r="R41" s="21">
        <v>0.0756</v>
      </c>
      <c r="S41" s="21">
        <f t="shared" si="14"/>
        <v>0.2480314961</v>
      </c>
      <c r="T41" s="19" t="str">
        <f t="shared" si="15"/>
        <v>0.0793963254593176+248031.496062992i</v>
      </c>
      <c r="U41" s="19" t="str">
        <f t="shared" si="16"/>
        <v>1.29058536995032E-12-0.00000403174603174562i</v>
      </c>
      <c r="V41" s="21">
        <f t="shared" si="17"/>
        <v>-0.000004031746032</v>
      </c>
      <c r="W41" s="22">
        <f t="shared" si="18"/>
        <v>-10.6945385</v>
      </c>
      <c r="X41" s="21">
        <f t="shared" si="19"/>
        <v>2.659776903</v>
      </c>
    </row>
    <row r="42" ht="14.25" customHeight="1">
      <c r="A42" s="19" t="s">
        <v>505</v>
      </c>
      <c r="E42" s="19" t="s">
        <v>109</v>
      </c>
      <c r="F42" s="19" t="s">
        <v>504</v>
      </c>
      <c r="G42" s="21">
        <v>138.0</v>
      </c>
      <c r="H42" s="21">
        <v>196.0</v>
      </c>
      <c r="I42" s="21">
        <v>100.0</v>
      </c>
      <c r="J42" s="21">
        <f t="shared" si="11"/>
        <v>190.44</v>
      </c>
      <c r="K42" s="25">
        <v>795.0</v>
      </c>
      <c r="L42" s="20" t="s">
        <v>446</v>
      </c>
      <c r="M42" s="21">
        <v>33.5</v>
      </c>
      <c r="N42" s="21">
        <f t="shared" si="12"/>
        <v>109.90814</v>
      </c>
      <c r="O42" s="21">
        <v>0.0242</v>
      </c>
      <c r="P42" s="21">
        <f t="shared" si="13"/>
        <v>0.07939632546</v>
      </c>
      <c r="Q42" s="21">
        <v>0.482</v>
      </c>
      <c r="R42" s="21">
        <v>0.0756</v>
      </c>
      <c r="S42" s="21">
        <f t="shared" si="14"/>
        <v>0.2480314961</v>
      </c>
      <c r="T42" s="19" t="str">
        <f t="shared" si="15"/>
        <v>0.0793963254593176+248031.496062992i</v>
      </c>
      <c r="U42" s="19" t="str">
        <f t="shared" si="16"/>
        <v>1.29058536995032E-12-0.00000403174603174562i</v>
      </c>
      <c r="V42" s="21">
        <f t="shared" si="17"/>
        <v>-0.000004031746032</v>
      </c>
      <c r="W42" s="22">
        <f t="shared" si="18"/>
        <v>-10.6945385</v>
      </c>
      <c r="X42" s="21">
        <f t="shared" si="19"/>
        <v>2.659776903</v>
      </c>
    </row>
    <row r="43" ht="14.25" customHeight="1">
      <c r="A43" s="19" t="s">
        <v>506</v>
      </c>
      <c r="E43" s="19" t="s">
        <v>205</v>
      </c>
      <c r="F43" s="19" t="s">
        <v>504</v>
      </c>
      <c r="G43" s="21">
        <v>138.0</v>
      </c>
      <c r="H43" s="21">
        <v>196.0</v>
      </c>
      <c r="I43" s="21">
        <v>100.0</v>
      </c>
      <c r="J43" s="21">
        <f t="shared" si="11"/>
        <v>190.44</v>
      </c>
      <c r="K43" s="25">
        <v>795.0</v>
      </c>
      <c r="L43" s="20" t="s">
        <v>446</v>
      </c>
      <c r="M43" s="21">
        <v>45.0</v>
      </c>
      <c r="N43" s="21">
        <f t="shared" si="12"/>
        <v>147.6378</v>
      </c>
      <c r="O43" s="21">
        <v>0.0242</v>
      </c>
      <c r="P43" s="21">
        <f t="shared" si="13"/>
        <v>0.07939632546</v>
      </c>
      <c r="Q43" s="21">
        <v>0.482</v>
      </c>
      <c r="R43" s="21">
        <v>0.0756</v>
      </c>
      <c r="S43" s="21">
        <f t="shared" si="14"/>
        <v>0.2480314961</v>
      </c>
      <c r="T43" s="19" t="str">
        <f t="shared" si="15"/>
        <v>0.0793963254593176+248031.496062992i</v>
      </c>
      <c r="U43" s="19" t="str">
        <f t="shared" si="16"/>
        <v>1.29058536995032E-12-0.00000403174603174562i</v>
      </c>
      <c r="V43" s="21">
        <f t="shared" si="17"/>
        <v>-0.000004031746032</v>
      </c>
      <c r="W43" s="22">
        <f t="shared" si="18"/>
        <v>-10.6945385</v>
      </c>
      <c r="X43" s="21">
        <f t="shared" si="19"/>
        <v>3.572834646</v>
      </c>
    </row>
    <row r="44" ht="14.25" customHeight="1">
      <c r="A44" s="19" t="s">
        <v>507</v>
      </c>
      <c r="E44" s="19" t="s">
        <v>205</v>
      </c>
      <c r="F44" s="19" t="s">
        <v>504</v>
      </c>
      <c r="G44" s="21">
        <v>138.0</v>
      </c>
      <c r="H44" s="21">
        <v>196.0</v>
      </c>
      <c r="I44" s="21">
        <v>100.0</v>
      </c>
      <c r="J44" s="21">
        <f t="shared" si="11"/>
        <v>190.44</v>
      </c>
      <c r="K44" s="25">
        <v>795.0</v>
      </c>
      <c r="L44" s="20" t="s">
        <v>446</v>
      </c>
      <c r="M44" s="21">
        <v>45.0</v>
      </c>
      <c r="N44" s="21">
        <f t="shared" si="12"/>
        <v>147.6378</v>
      </c>
      <c r="O44" s="21">
        <v>0.0242</v>
      </c>
      <c r="P44" s="21">
        <f t="shared" si="13"/>
        <v>0.07939632546</v>
      </c>
      <c r="Q44" s="21">
        <v>0.482</v>
      </c>
      <c r="R44" s="21">
        <v>0.0756</v>
      </c>
      <c r="S44" s="21">
        <f t="shared" si="14"/>
        <v>0.2480314961</v>
      </c>
      <c r="T44" s="19" t="str">
        <f t="shared" si="15"/>
        <v>0.0793963254593176+248031.496062992i</v>
      </c>
      <c r="U44" s="19" t="str">
        <f t="shared" si="16"/>
        <v>1.29058536995032E-12-0.00000403174603174562i</v>
      </c>
      <c r="V44" s="21">
        <f t="shared" si="17"/>
        <v>-0.000004031746032</v>
      </c>
      <c r="W44" s="22">
        <f t="shared" si="18"/>
        <v>-10.6945385</v>
      </c>
      <c r="X44" s="21">
        <f t="shared" si="19"/>
        <v>3.572834646</v>
      </c>
    </row>
    <row r="45" ht="14.25" customHeight="1">
      <c r="A45" s="19" t="s">
        <v>508</v>
      </c>
      <c r="E45" s="19" t="s">
        <v>509</v>
      </c>
      <c r="F45" s="19" t="s">
        <v>205</v>
      </c>
      <c r="G45" s="21">
        <v>138.0</v>
      </c>
      <c r="H45" s="21">
        <v>186.0</v>
      </c>
      <c r="I45" s="21">
        <v>100.0</v>
      </c>
      <c r="J45" s="21">
        <f t="shared" si="11"/>
        <v>190.44</v>
      </c>
      <c r="K45" s="25">
        <v>795.0</v>
      </c>
      <c r="L45" s="20" t="s">
        <v>446</v>
      </c>
      <c r="M45" s="21">
        <v>19.5</v>
      </c>
      <c r="N45" s="21">
        <f t="shared" si="12"/>
        <v>63.97638</v>
      </c>
      <c r="O45" s="21">
        <v>0.0242</v>
      </c>
      <c r="P45" s="21">
        <f t="shared" si="13"/>
        <v>0.07939632546</v>
      </c>
      <c r="Q45" s="21">
        <v>0.482</v>
      </c>
      <c r="R45" s="21">
        <v>0.0756</v>
      </c>
      <c r="S45" s="21">
        <f t="shared" si="14"/>
        <v>0.2480314961</v>
      </c>
      <c r="T45" s="19" t="str">
        <f t="shared" si="15"/>
        <v>0.0793963254593176+248031.496062992i</v>
      </c>
      <c r="U45" s="19" t="str">
        <f t="shared" si="16"/>
        <v>1.29058536995032E-12-0.00000403174603174562i</v>
      </c>
      <c r="V45" s="21">
        <f t="shared" si="17"/>
        <v>-0.000004031746032</v>
      </c>
      <c r="W45" s="22">
        <f t="shared" si="18"/>
        <v>-10.6945385</v>
      </c>
      <c r="X45" s="21">
        <f t="shared" si="19"/>
        <v>1.548228346</v>
      </c>
    </row>
    <row r="46" ht="14.25" customHeight="1">
      <c r="A46" s="19" t="s">
        <v>510</v>
      </c>
      <c r="E46" s="19" t="s">
        <v>509</v>
      </c>
      <c r="F46" s="19" t="s">
        <v>205</v>
      </c>
      <c r="G46" s="21">
        <v>138.0</v>
      </c>
      <c r="H46" s="21">
        <v>196.0</v>
      </c>
      <c r="I46" s="21">
        <v>100.0</v>
      </c>
      <c r="J46" s="21">
        <f t="shared" si="11"/>
        <v>190.44</v>
      </c>
      <c r="K46" s="25">
        <v>795.0</v>
      </c>
      <c r="L46" s="20" t="s">
        <v>446</v>
      </c>
      <c r="M46" s="21">
        <v>19.5</v>
      </c>
      <c r="N46" s="21">
        <f t="shared" si="12"/>
        <v>63.97638</v>
      </c>
      <c r="O46" s="21">
        <v>0.0242</v>
      </c>
      <c r="P46" s="21">
        <f t="shared" si="13"/>
        <v>0.07939632546</v>
      </c>
      <c r="Q46" s="21">
        <v>0.482</v>
      </c>
      <c r="R46" s="21">
        <v>0.0756</v>
      </c>
      <c r="S46" s="21">
        <f t="shared" si="14"/>
        <v>0.2480314961</v>
      </c>
      <c r="T46" s="19" t="str">
        <f t="shared" si="15"/>
        <v>0.0793963254593176+248031.496062992i</v>
      </c>
      <c r="U46" s="19" t="str">
        <f t="shared" si="16"/>
        <v>1.29058536995032E-12-0.00000403174603174562i</v>
      </c>
      <c r="V46" s="21">
        <f t="shared" si="17"/>
        <v>-0.000004031746032</v>
      </c>
      <c r="W46" s="22">
        <f t="shared" si="18"/>
        <v>-10.6945385</v>
      </c>
      <c r="X46" s="21">
        <f t="shared" si="19"/>
        <v>1.548228346</v>
      </c>
    </row>
    <row r="47" ht="14.25" customHeight="1">
      <c r="A47" s="19" t="s">
        <v>511</v>
      </c>
      <c r="E47" s="19" t="s">
        <v>205</v>
      </c>
      <c r="F47" s="19" t="s">
        <v>512</v>
      </c>
      <c r="G47" s="21">
        <v>138.0</v>
      </c>
      <c r="H47" s="21">
        <v>196.0</v>
      </c>
      <c r="I47" s="21">
        <v>100.0</v>
      </c>
      <c r="J47" s="21">
        <f t="shared" si="11"/>
        <v>190.44</v>
      </c>
      <c r="K47" s="25">
        <v>795.0</v>
      </c>
      <c r="L47" s="20" t="s">
        <v>446</v>
      </c>
      <c r="M47" s="21">
        <v>21.5</v>
      </c>
      <c r="N47" s="21">
        <f t="shared" si="12"/>
        <v>70.53806</v>
      </c>
      <c r="O47" s="21">
        <v>0.0242</v>
      </c>
      <c r="P47" s="21">
        <f t="shared" si="13"/>
        <v>0.07939632546</v>
      </c>
      <c r="Q47" s="21">
        <v>0.482</v>
      </c>
      <c r="R47" s="21">
        <v>0.0756</v>
      </c>
      <c r="S47" s="21">
        <f t="shared" si="14"/>
        <v>0.2480314961</v>
      </c>
      <c r="T47" s="19" t="str">
        <f t="shared" si="15"/>
        <v>0.0793963254593176+248031.496062992i</v>
      </c>
      <c r="U47" s="19" t="str">
        <f t="shared" si="16"/>
        <v>1.29058536995032E-12-0.00000403174603174562i</v>
      </c>
      <c r="V47" s="21">
        <f t="shared" si="17"/>
        <v>-0.000004031746032</v>
      </c>
      <c r="W47" s="22">
        <f t="shared" si="18"/>
        <v>-10.6945385</v>
      </c>
      <c r="X47" s="21">
        <f t="shared" si="19"/>
        <v>1.707020997</v>
      </c>
    </row>
    <row r="48" ht="14.25" customHeight="1">
      <c r="A48" s="19" t="s">
        <v>513</v>
      </c>
      <c r="E48" s="19" t="s">
        <v>205</v>
      </c>
      <c r="F48" s="19" t="s">
        <v>512</v>
      </c>
      <c r="G48" s="21">
        <v>138.0</v>
      </c>
      <c r="H48" s="21">
        <v>196.0</v>
      </c>
      <c r="I48" s="21">
        <v>100.0</v>
      </c>
      <c r="J48" s="21">
        <f t="shared" si="11"/>
        <v>190.44</v>
      </c>
      <c r="K48" s="25">
        <v>795.0</v>
      </c>
      <c r="L48" s="20" t="s">
        <v>446</v>
      </c>
      <c r="M48" s="21">
        <v>21.5</v>
      </c>
      <c r="N48" s="21">
        <f t="shared" si="12"/>
        <v>70.53806</v>
      </c>
      <c r="O48" s="21">
        <v>0.0242</v>
      </c>
      <c r="P48" s="21">
        <f t="shared" si="13"/>
        <v>0.07939632546</v>
      </c>
      <c r="Q48" s="21">
        <v>0.482</v>
      </c>
      <c r="R48" s="21">
        <v>0.0756</v>
      </c>
      <c r="S48" s="21">
        <f t="shared" si="14"/>
        <v>0.2480314961</v>
      </c>
      <c r="T48" s="19" t="str">
        <f t="shared" si="15"/>
        <v>0.0793963254593176+248031.496062992i</v>
      </c>
      <c r="U48" s="19" t="str">
        <f t="shared" si="16"/>
        <v>1.29058536995032E-12-0.00000403174603174562i</v>
      </c>
      <c r="V48" s="21">
        <f t="shared" si="17"/>
        <v>-0.000004031746032</v>
      </c>
      <c r="W48" s="22">
        <f t="shared" si="18"/>
        <v>-10.6945385</v>
      </c>
      <c r="X48" s="21">
        <f t="shared" si="19"/>
        <v>1.707020997</v>
      </c>
    </row>
    <row r="49" ht="14.25" customHeight="1">
      <c r="A49" s="18" t="s">
        <v>248</v>
      </c>
    </row>
    <row r="50" ht="14.25" customHeight="1">
      <c r="A50" s="19" t="s">
        <v>514</v>
      </c>
      <c r="B50" s="24" t="s">
        <v>449</v>
      </c>
      <c r="E50" s="19" t="s">
        <v>515</v>
      </c>
      <c r="F50" s="19" t="s">
        <v>492</v>
      </c>
      <c r="G50" s="21">
        <v>230.0</v>
      </c>
      <c r="H50" s="21">
        <v>444.0</v>
      </c>
      <c r="I50" s="21">
        <v>100.0</v>
      </c>
      <c r="J50" s="21">
        <f t="shared" ref="J50:J97" si="20">((G50*1000)^2)/(I50*1000000)</f>
        <v>529</v>
      </c>
      <c r="K50" s="25">
        <v>1600.0</v>
      </c>
      <c r="L50" s="20" t="s">
        <v>516</v>
      </c>
      <c r="M50" s="22">
        <v>26.17</v>
      </c>
      <c r="N50" s="21">
        <f t="shared" ref="N50:N97" si="21">M50*3.28084</f>
        <v>85.8595828</v>
      </c>
      <c r="O50" s="25">
        <v>8.44E-6</v>
      </c>
      <c r="P50" s="21">
        <f t="shared" ref="P50:P97" si="22">O50/0.3048</f>
        <v>0.00002769028871</v>
      </c>
      <c r="Q50" s="25" t="s">
        <v>250</v>
      </c>
      <c r="R50" s="25">
        <v>7.56E-5</v>
      </c>
      <c r="S50" s="21">
        <f t="shared" ref="S50:S97" si="23">R50/0.3048</f>
        <v>0.0002480314961</v>
      </c>
      <c r="T50" s="19" t="str">
        <f t="shared" ref="T50:T51" si="24">COMPLEX(O50,R50,"i")</f>
        <v>0.00000844+0.0000756i</v>
      </c>
      <c r="U50" s="20" t="str">
        <f t="shared" ref="U50:U97" si="25">IMDIV(1,T50)</f>
        <v>1458.54376225764-13064.6810932083i</v>
      </c>
      <c r="V50" s="20">
        <f t="shared" ref="V50:V97" si="26">IMAGINARY(U50)</f>
        <v>-13064.68109</v>
      </c>
      <c r="W50" s="22">
        <v>-10.695</v>
      </c>
      <c r="X50" s="21">
        <f t="shared" ref="X50:X51" si="27">O50*M50</f>
        <v>0.0002208748</v>
      </c>
    </row>
    <row r="51" ht="14.25" customHeight="1">
      <c r="A51" s="19" t="s">
        <v>517</v>
      </c>
      <c r="E51" s="19" t="s">
        <v>515</v>
      </c>
      <c r="F51" s="19" t="s">
        <v>492</v>
      </c>
      <c r="G51" s="21">
        <v>230.0</v>
      </c>
      <c r="H51" s="21">
        <v>444.0</v>
      </c>
      <c r="I51" s="21">
        <v>100.0</v>
      </c>
      <c r="J51" s="21">
        <f t="shared" si="20"/>
        <v>529</v>
      </c>
      <c r="K51" s="25">
        <v>1600.0</v>
      </c>
      <c r="L51" s="20" t="s">
        <v>516</v>
      </c>
      <c r="M51" s="22">
        <v>26.17</v>
      </c>
      <c r="N51" s="21">
        <f t="shared" si="21"/>
        <v>85.8595828</v>
      </c>
      <c r="O51" s="25">
        <v>8.44E-6</v>
      </c>
      <c r="P51" s="21">
        <f t="shared" si="22"/>
        <v>0.00002769028871</v>
      </c>
      <c r="Q51" s="25" t="s">
        <v>250</v>
      </c>
      <c r="R51" s="25">
        <v>7.56E-5</v>
      </c>
      <c r="S51" s="21">
        <f t="shared" si="23"/>
        <v>0.0002480314961</v>
      </c>
      <c r="T51" s="19" t="str">
        <f t="shared" si="24"/>
        <v>0.00000844+0.0000756i</v>
      </c>
      <c r="U51" s="20" t="str">
        <f t="shared" si="25"/>
        <v>1458.54376225764-13064.6810932083i</v>
      </c>
      <c r="V51" s="20">
        <f t="shared" si="26"/>
        <v>-13064.68109</v>
      </c>
      <c r="W51" s="22">
        <v>-10.695</v>
      </c>
      <c r="X51" s="21">
        <f t="shared" si="27"/>
        <v>0.0002208748</v>
      </c>
    </row>
    <row r="52" ht="14.25" customHeight="1">
      <c r="A52" s="19" t="s">
        <v>518</v>
      </c>
      <c r="B52" s="19" t="s">
        <v>486</v>
      </c>
      <c r="C52" s="20">
        <v>103.0</v>
      </c>
      <c r="D52" s="20" t="s">
        <v>487</v>
      </c>
      <c r="E52" s="19" t="s">
        <v>519</v>
      </c>
      <c r="F52" s="19" t="s">
        <v>515</v>
      </c>
      <c r="G52" s="21">
        <v>230.0</v>
      </c>
      <c r="H52" s="21">
        <v>1276.0</v>
      </c>
      <c r="I52" s="21">
        <v>100.0</v>
      </c>
      <c r="J52" s="21">
        <f t="shared" si="20"/>
        <v>529</v>
      </c>
      <c r="K52" s="21">
        <v>795.0</v>
      </c>
      <c r="L52" s="20" t="s">
        <v>446</v>
      </c>
      <c r="M52" s="21">
        <v>8.0</v>
      </c>
      <c r="N52" s="21">
        <f t="shared" si="21"/>
        <v>26.24672</v>
      </c>
      <c r="O52" s="21">
        <v>0.0242</v>
      </c>
      <c r="P52" s="21">
        <f t="shared" si="22"/>
        <v>0.07939632546</v>
      </c>
      <c r="Q52" s="21">
        <v>0.482</v>
      </c>
      <c r="R52" s="21">
        <v>0.0756</v>
      </c>
      <c r="S52" s="21">
        <f t="shared" si="23"/>
        <v>0.2480314961</v>
      </c>
      <c r="T52" s="19" t="str">
        <f t="shared" ref="T52:T71" si="28">COMPLEX(P52,S52*1000000,"i")</f>
        <v>0.0793963254593176+248031.496062992i</v>
      </c>
      <c r="U52" s="19" t="str">
        <f t="shared" si="25"/>
        <v>1.29058536995032E-12-0.00000403174603174562i</v>
      </c>
      <c r="V52" s="21">
        <f t="shared" si="26"/>
        <v>-0.000004031746032</v>
      </c>
      <c r="W52" s="22">
        <f t="shared" ref="W52:W71" si="29">(V52/(2*PI()*(60)))*1000000000</f>
        <v>-10.6945385</v>
      </c>
      <c r="X52" s="21">
        <f t="shared" ref="X52:X71" si="30">P52*M52</f>
        <v>0.6351706037</v>
      </c>
    </row>
    <row r="53" ht="14.25" customHeight="1">
      <c r="A53" s="19" t="s">
        <v>520</v>
      </c>
      <c r="E53" s="19" t="s">
        <v>519</v>
      </c>
      <c r="F53" s="19" t="s">
        <v>515</v>
      </c>
      <c r="G53" s="21">
        <v>230.0</v>
      </c>
      <c r="H53" s="21">
        <v>1276.0</v>
      </c>
      <c r="I53" s="21">
        <v>100.0</v>
      </c>
      <c r="J53" s="21">
        <f t="shared" si="20"/>
        <v>529</v>
      </c>
      <c r="K53" s="21">
        <v>795.0</v>
      </c>
      <c r="L53" s="20" t="s">
        <v>446</v>
      </c>
      <c r="M53" s="21">
        <v>8.0</v>
      </c>
      <c r="N53" s="21">
        <f t="shared" si="21"/>
        <v>26.24672</v>
      </c>
      <c r="O53" s="21">
        <v>0.0242</v>
      </c>
      <c r="P53" s="21">
        <f t="shared" si="22"/>
        <v>0.07939632546</v>
      </c>
      <c r="Q53" s="21">
        <v>0.482</v>
      </c>
      <c r="R53" s="21">
        <v>0.0756</v>
      </c>
      <c r="S53" s="21">
        <f t="shared" si="23"/>
        <v>0.2480314961</v>
      </c>
      <c r="T53" s="19" t="str">
        <f t="shared" si="28"/>
        <v>0.0793963254593176+248031.496062992i</v>
      </c>
      <c r="U53" s="19" t="str">
        <f t="shared" si="25"/>
        <v>1.29058536995032E-12-0.00000403174603174562i</v>
      </c>
      <c r="V53" s="21">
        <f t="shared" si="26"/>
        <v>-0.000004031746032</v>
      </c>
      <c r="W53" s="22">
        <f t="shared" si="29"/>
        <v>-10.6945385</v>
      </c>
      <c r="X53" s="21">
        <f t="shared" si="30"/>
        <v>0.6351706037</v>
      </c>
    </row>
    <row r="54" ht="14.25" customHeight="1">
      <c r="A54" s="19" t="s">
        <v>521</v>
      </c>
      <c r="B54" s="24" t="s">
        <v>449</v>
      </c>
      <c r="E54" s="19" t="s">
        <v>519</v>
      </c>
      <c r="F54" s="19" t="s">
        <v>522</v>
      </c>
      <c r="G54" s="21">
        <v>230.0</v>
      </c>
      <c r="H54" s="21">
        <v>1276.0</v>
      </c>
      <c r="I54" s="21">
        <v>100.0</v>
      </c>
      <c r="J54" s="21">
        <f t="shared" si="20"/>
        <v>529</v>
      </c>
      <c r="K54" s="21">
        <v>795.0</v>
      </c>
      <c r="L54" s="24" t="s">
        <v>446</v>
      </c>
      <c r="M54" s="22">
        <v>7.14</v>
      </c>
      <c r="N54" s="21">
        <f t="shared" si="21"/>
        <v>23.4251976</v>
      </c>
      <c r="O54" s="21">
        <v>0.0242</v>
      </c>
      <c r="P54" s="21">
        <f t="shared" si="22"/>
        <v>0.07939632546</v>
      </c>
      <c r="Q54" s="21">
        <v>0.482</v>
      </c>
      <c r="R54" s="21">
        <v>0.0756</v>
      </c>
      <c r="S54" s="21">
        <f t="shared" si="23"/>
        <v>0.2480314961</v>
      </c>
      <c r="T54" s="19" t="str">
        <f t="shared" si="28"/>
        <v>0.0793963254593176+248031.496062992i</v>
      </c>
      <c r="U54" s="19" t="str">
        <f t="shared" si="25"/>
        <v>1.29058536995032E-12-0.00000403174603174562i</v>
      </c>
      <c r="V54" s="21">
        <f t="shared" si="26"/>
        <v>-0.000004031746032</v>
      </c>
      <c r="W54" s="22">
        <f t="shared" si="29"/>
        <v>-10.6945385</v>
      </c>
      <c r="X54" s="21">
        <f t="shared" si="30"/>
        <v>0.5668897638</v>
      </c>
    </row>
    <row r="55" ht="14.25" customHeight="1">
      <c r="A55" s="19" t="s">
        <v>523</v>
      </c>
      <c r="E55" s="19" t="s">
        <v>519</v>
      </c>
      <c r="F55" s="19" t="s">
        <v>522</v>
      </c>
      <c r="G55" s="21">
        <v>230.0</v>
      </c>
      <c r="H55" s="21">
        <v>1276.0</v>
      </c>
      <c r="I55" s="21">
        <v>100.0</v>
      </c>
      <c r="J55" s="21">
        <f t="shared" si="20"/>
        <v>529</v>
      </c>
      <c r="K55" s="21">
        <v>795.0</v>
      </c>
      <c r="L55" s="24" t="s">
        <v>446</v>
      </c>
      <c r="M55" s="22">
        <v>7.14</v>
      </c>
      <c r="N55" s="21">
        <f t="shared" si="21"/>
        <v>23.4251976</v>
      </c>
      <c r="O55" s="21">
        <v>0.0242</v>
      </c>
      <c r="P55" s="21">
        <f t="shared" si="22"/>
        <v>0.07939632546</v>
      </c>
      <c r="Q55" s="21">
        <v>0.482</v>
      </c>
      <c r="R55" s="21">
        <v>0.0756</v>
      </c>
      <c r="S55" s="21">
        <f t="shared" si="23"/>
        <v>0.2480314961</v>
      </c>
      <c r="T55" s="19" t="str">
        <f t="shared" si="28"/>
        <v>0.0793963254593176+248031.496062992i</v>
      </c>
      <c r="U55" s="19" t="str">
        <f t="shared" si="25"/>
        <v>1.29058536995032E-12-0.00000403174603174562i</v>
      </c>
      <c r="V55" s="21">
        <f t="shared" si="26"/>
        <v>-0.000004031746032</v>
      </c>
      <c r="W55" s="22">
        <f t="shared" si="29"/>
        <v>-10.6945385</v>
      </c>
      <c r="X55" s="21">
        <f t="shared" si="30"/>
        <v>0.5668897638</v>
      </c>
    </row>
    <row r="56" ht="14.25" customHeight="1">
      <c r="A56" s="19" t="s">
        <v>524</v>
      </c>
      <c r="E56" s="19" t="s">
        <v>519</v>
      </c>
      <c r="F56" s="19" t="s">
        <v>525</v>
      </c>
      <c r="G56" s="21">
        <v>230.0</v>
      </c>
      <c r="H56" s="21">
        <v>1276.0</v>
      </c>
      <c r="I56" s="21">
        <v>100.0</v>
      </c>
      <c r="J56" s="21">
        <f t="shared" si="20"/>
        <v>529</v>
      </c>
      <c r="K56" s="21">
        <v>795.0</v>
      </c>
      <c r="L56" s="24" t="s">
        <v>446</v>
      </c>
      <c r="M56" s="22">
        <v>42.02</v>
      </c>
      <c r="N56" s="21">
        <f t="shared" si="21"/>
        <v>137.8608968</v>
      </c>
      <c r="O56" s="21">
        <v>0.0242</v>
      </c>
      <c r="P56" s="21">
        <f t="shared" si="22"/>
        <v>0.07939632546</v>
      </c>
      <c r="Q56" s="21">
        <v>0.482</v>
      </c>
      <c r="R56" s="21">
        <v>0.0756</v>
      </c>
      <c r="S56" s="21">
        <f t="shared" si="23"/>
        <v>0.2480314961</v>
      </c>
      <c r="T56" s="19" t="str">
        <f t="shared" si="28"/>
        <v>0.0793963254593176+248031.496062992i</v>
      </c>
      <c r="U56" s="19" t="str">
        <f t="shared" si="25"/>
        <v>1.29058536995032E-12-0.00000403174603174562i</v>
      </c>
      <c r="V56" s="21">
        <f t="shared" si="26"/>
        <v>-0.000004031746032</v>
      </c>
      <c r="W56" s="22">
        <f t="shared" si="29"/>
        <v>-10.6945385</v>
      </c>
      <c r="X56" s="21">
        <f t="shared" si="30"/>
        <v>3.336233596</v>
      </c>
    </row>
    <row r="57" ht="14.25" customHeight="1">
      <c r="A57" s="19" t="s">
        <v>526</v>
      </c>
      <c r="E57" s="19" t="s">
        <v>519</v>
      </c>
      <c r="F57" s="19" t="s">
        <v>525</v>
      </c>
      <c r="G57" s="21">
        <v>230.0</v>
      </c>
      <c r="H57" s="21">
        <v>1276.0</v>
      </c>
      <c r="I57" s="21">
        <v>100.0</v>
      </c>
      <c r="J57" s="21">
        <f t="shared" si="20"/>
        <v>529</v>
      </c>
      <c r="K57" s="21">
        <v>795.0</v>
      </c>
      <c r="L57" s="24" t="s">
        <v>446</v>
      </c>
      <c r="M57" s="22">
        <v>42.02</v>
      </c>
      <c r="N57" s="21">
        <f t="shared" si="21"/>
        <v>137.8608968</v>
      </c>
      <c r="O57" s="21">
        <v>0.0242</v>
      </c>
      <c r="P57" s="21">
        <f t="shared" si="22"/>
        <v>0.07939632546</v>
      </c>
      <c r="Q57" s="21">
        <v>0.482</v>
      </c>
      <c r="R57" s="21">
        <v>0.0756</v>
      </c>
      <c r="S57" s="21">
        <f t="shared" si="23"/>
        <v>0.2480314961</v>
      </c>
      <c r="T57" s="19" t="str">
        <f t="shared" si="28"/>
        <v>0.0793963254593176+248031.496062992i</v>
      </c>
      <c r="U57" s="19" t="str">
        <f t="shared" si="25"/>
        <v>1.29058536995032E-12-0.00000403174603174562i</v>
      </c>
      <c r="V57" s="21">
        <f t="shared" si="26"/>
        <v>-0.000004031746032</v>
      </c>
      <c r="W57" s="22">
        <f t="shared" si="29"/>
        <v>-10.6945385</v>
      </c>
      <c r="X57" s="21">
        <f t="shared" si="30"/>
        <v>3.336233596</v>
      </c>
    </row>
    <row r="58" ht="14.25" customHeight="1">
      <c r="A58" s="19" t="s">
        <v>527</v>
      </c>
      <c r="B58" s="19" t="s">
        <v>486</v>
      </c>
      <c r="C58" s="20">
        <v>103.0</v>
      </c>
      <c r="D58" s="20" t="s">
        <v>487</v>
      </c>
      <c r="E58" s="19" t="s">
        <v>528</v>
      </c>
      <c r="F58" s="19" t="s">
        <v>519</v>
      </c>
      <c r="G58" s="21">
        <v>230.0</v>
      </c>
      <c r="H58" s="21">
        <v>1276.0</v>
      </c>
      <c r="I58" s="21">
        <v>100.0</v>
      </c>
      <c r="J58" s="21">
        <f t="shared" si="20"/>
        <v>529</v>
      </c>
      <c r="K58" s="21">
        <v>795.0</v>
      </c>
      <c r="L58" s="20" t="s">
        <v>446</v>
      </c>
      <c r="M58" s="21">
        <v>33.0</v>
      </c>
      <c r="N58" s="21">
        <f t="shared" si="21"/>
        <v>108.26772</v>
      </c>
      <c r="O58" s="21">
        <v>0.0242</v>
      </c>
      <c r="P58" s="21">
        <f t="shared" si="22"/>
        <v>0.07939632546</v>
      </c>
      <c r="Q58" s="21">
        <v>0.482</v>
      </c>
      <c r="R58" s="21">
        <v>0.0756</v>
      </c>
      <c r="S58" s="21">
        <f t="shared" si="23"/>
        <v>0.2480314961</v>
      </c>
      <c r="T58" s="19" t="str">
        <f t="shared" si="28"/>
        <v>0.0793963254593176+248031.496062992i</v>
      </c>
      <c r="U58" s="19" t="str">
        <f t="shared" si="25"/>
        <v>1.29058536995032E-12-0.00000403174603174562i</v>
      </c>
      <c r="V58" s="21">
        <f t="shared" si="26"/>
        <v>-0.000004031746032</v>
      </c>
      <c r="W58" s="22">
        <f t="shared" si="29"/>
        <v>-10.6945385</v>
      </c>
      <c r="X58" s="21">
        <f t="shared" si="30"/>
        <v>2.62007874</v>
      </c>
    </row>
    <row r="59" ht="14.25" customHeight="1">
      <c r="A59" s="19" t="s">
        <v>529</v>
      </c>
      <c r="E59" s="19" t="s">
        <v>528</v>
      </c>
      <c r="F59" s="19" t="s">
        <v>519</v>
      </c>
      <c r="G59" s="21">
        <v>230.0</v>
      </c>
      <c r="H59" s="21">
        <v>1276.0</v>
      </c>
      <c r="I59" s="21">
        <v>100.0</v>
      </c>
      <c r="J59" s="21">
        <f t="shared" si="20"/>
        <v>529</v>
      </c>
      <c r="K59" s="21">
        <v>795.0</v>
      </c>
      <c r="L59" s="20" t="s">
        <v>446</v>
      </c>
      <c r="M59" s="21">
        <v>33.0</v>
      </c>
      <c r="N59" s="21">
        <f t="shared" si="21"/>
        <v>108.26772</v>
      </c>
      <c r="O59" s="21">
        <v>0.0242</v>
      </c>
      <c r="P59" s="21">
        <f t="shared" si="22"/>
        <v>0.07939632546</v>
      </c>
      <c r="Q59" s="21">
        <v>0.482</v>
      </c>
      <c r="R59" s="21">
        <v>0.0756</v>
      </c>
      <c r="S59" s="21">
        <f t="shared" si="23"/>
        <v>0.2480314961</v>
      </c>
      <c r="T59" s="19" t="str">
        <f t="shared" si="28"/>
        <v>0.0793963254593176+248031.496062992i</v>
      </c>
      <c r="U59" s="19" t="str">
        <f t="shared" si="25"/>
        <v>1.29058536995032E-12-0.00000403174603174562i</v>
      </c>
      <c r="V59" s="21">
        <f t="shared" si="26"/>
        <v>-0.000004031746032</v>
      </c>
      <c r="W59" s="22">
        <f t="shared" si="29"/>
        <v>-10.6945385</v>
      </c>
      <c r="X59" s="21">
        <f t="shared" si="30"/>
        <v>2.62007874</v>
      </c>
    </row>
    <row r="60" ht="14.25" customHeight="1">
      <c r="A60" s="19" t="s">
        <v>530</v>
      </c>
      <c r="B60" s="24"/>
      <c r="E60" s="19" t="s">
        <v>531</v>
      </c>
      <c r="F60" s="19" t="s">
        <v>519</v>
      </c>
      <c r="G60" s="21">
        <v>138.0</v>
      </c>
      <c r="H60" s="21">
        <v>392.0</v>
      </c>
      <c r="I60" s="21">
        <v>100.0</v>
      </c>
      <c r="J60" s="21">
        <f t="shared" si="20"/>
        <v>190.44</v>
      </c>
      <c r="K60" s="21">
        <v>795.0</v>
      </c>
      <c r="L60" s="24" t="s">
        <v>446</v>
      </c>
      <c r="M60" s="22">
        <v>17.0</v>
      </c>
      <c r="N60" s="21">
        <f t="shared" si="21"/>
        <v>55.77428</v>
      </c>
      <c r="O60" s="21">
        <v>0.0242</v>
      </c>
      <c r="P60" s="21">
        <f t="shared" si="22"/>
        <v>0.07939632546</v>
      </c>
      <c r="Q60" s="21">
        <v>0.482</v>
      </c>
      <c r="R60" s="21">
        <v>0.0756</v>
      </c>
      <c r="S60" s="21">
        <f t="shared" si="23"/>
        <v>0.2480314961</v>
      </c>
      <c r="T60" s="19" t="str">
        <f t="shared" si="28"/>
        <v>0.0793963254593176+248031.496062992i</v>
      </c>
      <c r="U60" s="19" t="str">
        <f t="shared" si="25"/>
        <v>1.29058536995032E-12-0.00000403174603174562i</v>
      </c>
      <c r="V60" s="21">
        <f t="shared" si="26"/>
        <v>-0.000004031746032</v>
      </c>
      <c r="W60" s="22">
        <f t="shared" si="29"/>
        <v>-10.6945385</v>
      </c>
      <c r="X60" s="21">
        <f t="shared" si="30"/>
        <v>1.349737533</v>
      </c>
    </row>
    <row r="61" ht="14.25" customHeight="1">
      <c r="A61" s="19" t="s">
        <v>532</v>
      </c>
      <c r="E61" s="19" t="s">
        <v>531</v>
      </c>
      <c r="F61" s="19" t="s">
        <v>519</v>
      </c>
      <c r="G61" s="21">
        <v>138.0</v>
      </c>
      <c r="H61" s="21">
        <v>392.0</v>
      </c>
      <c r="I61" s="21">
        <v>100.0</v>
      </c>
      <c r="J61" s="21">
        <f t="shared" si="20"/>
        <v>190.44</v>
      </c>
      <c r="K61" s="21">
        <v>795.0</v>
      </c>
      <c r="L61" s="24" t="s">
        <v>446</v>
      </c>
      <c r="M61" s="22">
        <v>17.0</v>
      </c>
      <c r="N61" s="21">
        <f t="shared" si="21"/>
        <v>55.77428</v>
      </c>
      <c r="O61" s="21">
        <v>0.0242</v>
      </c>
      <c r="P61" s="21">
        <f t="shared" si="22"/>
        <v>0.07939632546</v>
      </c>
      <c r="Q61" s="21">
        <v>0.482</v>
      </c>
      <c r="R61" s="21">
        <v>0.0756</v>
      </c>
      <c r="S61" s="21">
        <f t="shared" si="23"/>
        <v>0.2480314961</v>
      </c>
      <c r="T61" s="19" t="str">
        <f t="shared" si="28"/>
        <v>0.0793963254593176+248031.496062992i</v>
      </c>
      <c r="U61" s="19" t="str">
        <f t="shared" si="25"/>
        <v>1.29058536995032E-12-0.00000403174603174562i</v>
      </c>
      <c r="V61" s="21">
        <f t="shared" si="26"/>
        <v>-0.000004031746032</v>
      </c>
      <c r="W61" s="22">
        <f t="shared" si="29"/>
        <v>-10.6945385</v>
      </c>
      <c r="X61" s="21">
        <f t="shared" si="30"/>
        <v>1.349737533</v>
      </c>
    </row>
    <row r="62" ht="14.25" customHeight="1">
      <c r="A62" s="19" t="s">
        <v>533</v>
      </c>
      <c r="E62" s="19" t="s">
        <v>531</v>
      </c>
      <c r="F62" s="19" t="s">
        <v>519</v>
      </c>
      <c r="G62" s="21">
        <v>138.0</v>
      </c>
      <c r="H62" s="21">
        <v>392.0</v>
      </c>
      <c r="I62" s="21">
        <v>100.0</v>
      </c>
      <c r="J62" s="21">
        <f t="shared" si="20"/>
        <v>190.44</v>
      </c>
      <c r="K62" s="21">
        <v>795.0</v>
      </c>
      <c r="L62" s="24" t="s">
        <v>446</v>
      </c>
      <c r="M62" s="22">
        <v>17.0</v>
      </c>
      <c r="N62" s="21">
        <f t="shared" si="21"/>
        <v>55.77428</v>
      </c>
      <c r="O62" s="21">
        <v>0.0242</v>
      </c>
      <c r="P62" s="21">
        <f t="shared" si="22"/>
        <v>0.07939632546</v>
      </c>
      <c r="Q62" s="21">
        <v>0.482</v>
      </c>
      <c r="R62" s="21">
        <v>0.0756</v>
      </c>
      <c r="S62" s="21">
        <f t="shared" si="23"/>
        <v>0.2480314961</v>
      </c>
      <c r="T62" s="19" t="str">
        <f t="shared" si="28"/>
        <v>0.0793963254593176+248031.496062992i</v>
      </c>
      <c r="U62" s="19" t="str">
        <f t="shared" si="25"/>
        <v>1.29058536995032E-12-0.00000403174603174562i</v>
      </c>
      <c r="V62" s="21">
        <f t="shared" si="26"/>
        <v>-0.000004031746032</v>
      </c>
      <c r="W62" s="22">
        <f t="shared" si="29"/>
        <v>-10.6945385</v>
      </c>
      <c r="X62" s="21">
        <f t="shared" si="30"/>
        <v>1.349737533</v>
      </c>
    </row>
    <row r="63" ht="14.25" customHeight="1">
      <c r="A63" s="19" t="s">
        <v>534</v>
      </c>
      <c r="E63" s="19" t="s">
        <v>519</v>
      </c>
      <c r="F63" s="19" t="s">
        <v>535</v>
      </c>
      <c r="G63" s="21">
        <v>138.0</v>
      </c>
      <c r="H63" s="21">
        <v>392.0</v>
      </c>
      <c r="I63" s="21">
        <v>100.0</v>
      </c>
      <c r="J63" s="21">
        <f t="shared" si="20"/>
        <v>190.44</v>
      </c>
      <c r="K63" s="21">
        <v>795.0</v>
      </c>
      <c r="L63" s="24" t="s">
        <v>446</v>
      </c>
      <c r="M63" s="22">
        <v>5.0</v>
      </c>
      <c r="N63" s="21">
        <f t="shared" si="21"/>
        <v>16.4042</v>
      </c>
      <c r="O63" s="21">
        <v>0.0242</v>
      </c>
      <c r="P63" s="21">
        <f t="shared" si="22"/>
        <v>0.07939632546</v>
      </c>
      <c r="Q63" s="21">
        <v>0.482</v>
      </c>
      <c r="R63" s="21">
        <v>0.0756</v>
      </c>
      <c r="S63" s="21">
        <f t="shared" si="23"/>
        <v>0.2480314961</v>
      </c>
      <c r="T63" s="19" t="str">
        <f t="shared" si="28"/>
        <v>0.0793963254593176+248031.496062992i</v>
      </c>
      <c r="U63" s="19" t="str">
        <f t="shared" si="25"/>
        <v>1.29058536995032E-12-0.00000403174603174562i</v>
      </c>
      <c r="V63" s="21">
        <f t="shared" si="26"/>
        <v>-0.000004031746032</v>
      </c>
      <c r="W63" s="22">
        <f t="shared" si="29"/>
        <v>-10.6945385</v>
      </c>
      <c r="X63" s="21">
        <f t="shared" si="30"/>
        <v>0.3969816273</v>
      </c>
    </row>
    <row r="64" ht="14.25" customHeight="1">
      <c r="A64" s="19" t="s">
        <v>536</v>
      </c>
      <c r="E64" s="19" t="s">
        <v>519</v>
      </c>
      <c r="F64" s="19" t="s">
        <v>537</v>
      </c>
      <c r="G64" s="21">
        <v>138.0</v>
      </c>
      <c r="H64" s="21">
        <v>196.0</v>
      </c>
      <c r="I64" s="21">
        <v>100.0</v>
      </c>
      <c r="J64" s="21">
        <f t="shared" si="20"/>
        <v>190.44</v>
      </c>
      <c r="K64" s="21">
        <v>795.0</v>
      </c>
      <c r="L64" s="24" t="s">
        <v>446</v>
      </c>
      <c r="M64" s="22">
        <v>7.78</v>
      </c>
      <c r="N64" s="21">
        <f t="shared" si="21"/>
        <v>25.5249352</v>
      </c>
      <c r="O64" s="21">
        <v>0.0242</v>
      </c>
      <c r="P64" s="21">
        <f t="shared" si="22"/>
        <v>0.07939632546</v>
      </c>
      <c r="Q64" s="21">
        <v>0.482</v>
      </c>
      <c r="R64" s="21">
        <v>0.0756</v>
      </c>
      <c r="S64" s="21">
        <f t="shared" si="23"/>
        <v>0.2480314961</v>
      </c>
      <c r="T64" s="19" t="str">
        <f t="shared" si="28"/>
        <v>0.0793963254593176+248031.496062992i</v>
      </c>
      <c r="U64" s="19" t="str">
        <f t="shared" si="25"/>
        <v>1.29058536995032E-12-0.00000403174603174562i</v>
      </c>
      <c r="V64" s="21">
        <f t="shared" si="26"/>
        <v>-0.000004031746032</v>
      </c>
      <c r="W64" s="22">
        <f t="shared" si="29"/>
        <v>-10.6945385</v>
      </c>
      <c r="X64" s="21">
        <f t="shared" si="30"/>
        <v>0.6177034121</v>
      </c>
    </row>
    <row r="65" ht="14.25" customHeight="1">
      <c r="A65" s="19" t="s">
        <v>538</v>
      </c>
      <c r="E65" s="19" t="s">
        <v>519</v>
      </c>
      <c r="F65" s="19" t="s">
        <v>537</v>
      </c>
      <c r="G65" s="21">
        <v>138.0</v>
      </c>
      <c r="H65" s="21">
        <v>196.0</v>
      </c>
      <c r="I65" s="21">
        <v>100.0</v>
      </c>
      <c r="J65" s="21">
        <f t="shared" si="20"/>
        <v>190.44</v>
      </c>
      <c r="K65" s="21">
        <v>795.0</v>
      </c>
      <c r="L65" s="24" t="s">
        <v>446</v>
      </c>
      <c r="M65" s="22">
        <v>7.78</v>
      </c>
      <c r="N65" s="21">
        <f t="shared" si="21"/>
        <v>25.5249352</v>
      </c>
      <c r="O65" s="21">
        <v>0.0242</v>
      </c>
      <c r="P65" s="21">
        <f t="shared" si="22"/>
        <v>0.07939632546</v>
      </c>
      <c r="Q65" s="21">
        <v>0.482</v>
      </c>
      <c r="R65" s="21">
        <v>0.0756</v>
      </c>
      <c r="S65" s="21">
        <f t="shared" si="23"/>
        <v>0.2480314961</v>
      </c>
      <c r="T65" s="19" t="str">
        <f t="shared" si="28"/>
        <v>0.0793963254593176+248031.496062992i</v>
      </c>
      <c r="U65" s="19" t="str">
        <f t="shared" si="25"/>
        <v>1.29058536995032E-12-0.00000403174603174562i</v>
      </c>
      <c r="V65" s="21">
        <f t="shared" si="26"/>
        <v>-0.000004031746032</v>
      </c>
      <c r="W65" s="22">
        <f t="shared" si="29"/>
        <v>-10.6945385</v>
      </c>
      <c r="X65" s="21">
        <f t="shared" si="30"/>
        <v>0.6177034121</v>
      </c>
    </row>
    <row r="66" ht="14.25" customHeight="1">
      <c r="A66" s="19" t="s">
        <v>539</v>
      </c>
      <c r="E66" s="19" t="s">
        <v>535</v>
      </c>
      <c r="F66" s="19" t="s">
        <v>537</v>
      </c>
      <c r="G66" s="21">
        <v>138.0</v>
      </c>
      <c r="H66" s="21">
        <v>420.0</v>
      </c>
      <c r="I66" s="21">
        <v>100.0</v>
      </c>
      <c r="J66" s="21">
        <f t="shared" si="20"/>
        <v>190.44</v>
      </c>
      <c r="K66" s="21">
        <v>795.0</v>
      </c>
      <c r="L66" s="24" t="s">
        <v>446</v>
      </c>
      <c r="M66" s="22">
        <v>4.5</v>
      </c>
      <c r="N66" s="21">
        <f t="shared" si="21"/>
        <v>14.76378</v>
      </c>
      <c r="O66" s="21">
        <v>0.0242</v>
      </c>
      <c r="P66" s="21">
        <f t="shared" si="22"/>
        <v>0.07939632546</v>
      </c>
      <c r="Q66" s="21">
        <v>0.482</v>
      </c>
      <c r="R66" s="21">
        <v>0.0756</v>
      </c>
      <c r="S66" s="21">
        <f t="shared" si="23"/>
        <v>0.2480314961</v>
      </c>
      <c r="T66" s="19" t="str">
        <f t="shared" si="28"/>
        <v>0.0793963254593176+248031.496062992i</v>
      </c>
      <c r="U66" s="19" t="str">
        <f t="shared" si="25"/>
        <v>1.29058536995032E-12-0.00000403174603174562i</v>
      </c>
      <c r="V66" s="21">
        <f t="shared" si="26"/>
        <v>-0.000004031746032</v>
      </c>
      <c r="W66" s="22">
        <f t="shared" si="29"/>
        <v>-10.6945385</v>
      </c>
      <c r="X66" s="21">
        <f t="shared" si="30"/>
        <v>0.3572834646</v>
      </c>
    </row>
    <row r="67" ht="14.25" customHeight="1">
      <c r="A67" s="19" t="s">
        <v>540</v>
      </c>
      <c r="E67" s="19" t="s">
        <v>535</v>
      </c>
      <c r="F67" s="19" t="s">
        <v>537</v>
      </c>
      <c r="G67" s="21">
        <v>138.0</v>
      </c>
      <c r="H67" s="21">
        <v>420.0</v>
      </c>
      <c r="I67" s="21">
        <v>100.0</v>
      </c>
      <c r="J67" s="21">
        <f t="shared" si="20"/>
        <v>190.44</v>
      </c>
      <c r="K67" s="21">
        <v>795.0</v>
      </c>
      <c r="L67" s="24" t="s">
        <v>446</v>
      </c>
      <c r="M67" s="22">
        <v>4.5</v>
      </c>
      <c r="N67" s="21">
        <f t="shared" si="21"/>
        <v>14.76378</v>
      </c>
      <c r="O67" s="21">
        <v>0.0242</v>
      </c>
      <c r="P67" s="21">
        <f t="shared" si="22"/>
        <v>0.07939632546</v>
      </c>
      <c r="Q67" s="21">
        <v>0.482</v>
      </c>
      <c r="R67" s="21">
        <v>0.0756</v>
      </c>
      <c r="S67" s="21">
        <f t="shared" si="23"/>
        <v>0.2480314961</v>
      </c>
      <c r="T67" s="19" t="str">
        <f t="shared" si="28"/>
        <v>0.0793963254593176+248031.496062992i</v>
      </c>
      <c r="U67" s="19" t="str">
        <f t="shared" si="25"/>
        <v>1.29058536995032E-12-0.00000403174603174562i</v>
      </c>
      <c r="V67" s="21">
        <f t="shared" si="26"/>
        <v>-0.000004031746032</v>
      </c>
      <c r="W67" s="22">
        <f t="shared" si="29"/>
        <v>-10.6945385</v>
      </c>
      <c r="X67" s="21">
        <f t="shared" si="30"/>
        <v>0.3572834646</v>
      </c>
    </row>
    <row r="68" ht="14.25" customHeight="1">
      <c r="A68" s="19" t="s">
        <v>541</v>
      </c>
      <c r="E68" s="19" t="s">
        <v>525</v>
      </c>
      <c r="F68" s="19" t="s">
        <v>542</v>
      </c>
      <c r="G68" s="21">
        <v>138.0</v>
      </c>
      <c r="H68" s="21">
        <v>196.0</v>
      </c>
      <c r="I68" s="21">
        <v>100.0</v>
      </c>
      <c r="J68" s="21">
        <f t="shared" si="20"/>
        <v>190.44</v>
      </c>
      <c r="K68" s="21">
        <v>795.0</v>
      </c>
      <c r="L68" s="24" t="s">
        <v>446</v>
      </c>
      <c r="M68" s="22">
        <v>60.0</v>
      </c>
      <c r="N68" s="21">
        <f t="shared" si="21"/>
        <v>196.8504</v>
      </c>
      <c r="O68" s="21">
        <v>0.0242</v>
      </c>
      <c r="P68" s="21">
        <f t="shared" si="22"/>
        <v>0.07939632546</v>
      </c>
      <c r="Q68" s="21">
        <v>0.482</v>
      </c>
      <c r="R68" s="21">
        <v>0.0756</v>
      </c>
      <c r="S68" s="21">
        <f t="shared" si="23"/>
        <v>0.2480314961</v>
      </c>
      <c r="T68" s="19" t="str">
        <f t="shared" si="28"/>
        <v>0.0793963254593176+248031.496062992i</v>
      </c>
      <c r="U68" s="19" t="str">
        <f t="shared" si="25"/>
        <v>1.29058536995032E-12-0.00000403174603174562i</v>
      </c>
      <c r="V68" s="21">
        <f t="shared" si="26"/>
        <v>-0.000004031746032</v>
      </c>
      <c r="W68" s="22">
        <f t="shared" si="29"/>
        <v>-10.6945385</v>
      </c>
      <c r="X68" s="21">
        <f t="shared" si="30"/>
        <v>4.763779528</v>
      </c>
    </row>
    <row r="69" ht="14.25" customHeight="1">
      <c r="A69" s="19" t="s">
        <v>543</v>
      </c>
      <c r="E69" s="19" t="s">
        <v>525</v>
      </c>
      <c r="F69" s="19" t="s">
        <v>542</v>
      </c>
      <c r="G69" s="21">
        <v>138.0</v>
      </c>
      <c r="H69" s="21">
        <v>196.0</v>
      </c>
      <c r="I69" s="21">
        <v>100.0</v>
      </c>
      <c r="J69" s="21">
        <f t="shared" si="20"/>
        <v>190.44</v>
      </c>
      <c r="K69" s="21">
        <v>795.0</v>
      </c>
      <c r="L69" s="24" t="s">
        <v>446</v>
      </c>
      <c r="M69" s="22">
        <v>60.0</v>
      </c>
      <c r="N69" s="21">
        <f t="shared" si="21"/>
        <v>196.8504</v>
      </c>
      <c r="O69" s="21">
        <v>0.0242</v>
      </c>
      <c r="P69" s="21">
        <f t="shared" si="22"/>
        <v>0.07939632546</v>
      </c>
      <c r="Q69" s="21">
        <v>0.482</v>
      </c>
      <c r="R69" s="21">
        <v>0.0756</v>
      </c>
      <c r="S69" s="21">
        <f t="shared" si="23"/>
        <v>0.2480314961</v>
      </c>
      <c r="T69" s="19" t="str">
        <f t="shared" si="28"/>
        <v>0.0793963254593176+248031.496062992i</v>
      </c>
      <c r="U69" s="19" t="str">
        <f t="shared" si="25"/>
        <v>1.29058536995032E-12-0.00000403174603174562i</v>
      </c>
      <c r="V69" s="21">
        <f t="shared" si="26"/>
        <v>-0.000004031746032</v>
      </c>
      <c r="W69" s="22">
        <f t="shared" si="29"/>
        <v>-10.6945385</v>
      </c>
      <c r="X69" s="21">
        <f t="shared" si="30"/>
        <v>4.763779528</v>
      </c>
    </row>
    <row r="70" ht="14.25" customHeight="1">
      <c r="A70" s="19" t="s">
        <v>544</v>
      </c>
      <c r="E70" s="19" t="s">
        <v>531</v>
      </c>
      <c r="F70" s="19" t="s">
        <v>525</v>
      </c>
      <c r="G70" s="21">
        <v>138.0</v>
      </c>
      <c r="H70" s="21">
        <v>196.0</v>
      </c>
      <c r="I70" s="21">
        <v>100.0</v>
      </c>
      <c r="J70" s="21">
        <f t="shared" si="20"/>
        <v>190.44</v>
      </c>
      <c r="K70" s="21">
        <v>795.0</v>
      </c>
      <c r="L70" s="24" t="s">
        <v>446</v>
      </c>
      <c r="M70" s="22">
        <v>40.4</v>
      </c>
      <c r="N70" s="21">
        <f t="shared" si="21"/>
        <v>132.545936</v>
      </c>
      <c r="O70" s="21">
        <v>0.0242</v>
      </c>
      <c r="P70" s="21">
        <f t="shared" si="22"/>
        <v>0.07939632546</v>
      </c>
      <c r="Q70" s="21">
        <v>0.482</v>
      </c>
      <c r="R70" s="21">
        <v>0.0756</v>
      </c>
      <c r="S70" s="21">
        <f t="shared" si="23"/>
        <v>0.2480314961</v>
      </c>
      <c r="T70" s="19" t="str">
        <f t="shared" si="28"/>
        <v>0.0793963254593176+248031.496062992i</v>
      </c>
      <c r="U70" s="19" t="str">
        <f t="shared" si="25"/>
        <v>1.29058536995032E-12-0.00000403174603174562i</v>
      </c>
      <c r="V70" s="21">
        <f t="shared" si="26"/>
        <v>-0.000004031746032</v>
      </c>
      <c r="W70" s="22">
        <f t="shared" si="29"/>
        <v>-10.6945385</v>
      </c>
      <c r="X70" s="21">
        <f t="shared" si="30"/>
        <v>3.207611549</v>
      </c>
    </row>
    <row r="71" ht="14.25" customHeight="1">
      <c r="A71" s="19" t="s">
        <v>545</v>
      </c>
      <c r="E71" s="19" t="s">
        <v>531</v>
      </c>
      <c r="F71" s="19" t="s">
        <v>525</v>
      </c>
      <c r="G71" s="21">
        <v>138.0</v>
      </c>
      <c r="H71" s="21">
        <v>196.0</v>
      </c>
      <c r="I71" s="21">
        <v>100.0</v>
      </c>
      <c r="J71" s="21">
        <f t="shared" si="20"/>
        <v>190.44</v>
      </c>
      <c r="K71" s="21">
        <v>795.0</v>
      </c>
      <c r="L71" s="24" t="s">
        <v>446</v>
      </c>
      <c r="M71" s="22">
        <v>40.4</v>
      </c>
      <c r="N71" s="21">
        <f t="shared" si="21"/>
        <v>132.545936</v>
      </c>
      <c r="O71" s="21">
        <v>0.0242</v>
      </c>
      <c r="P71" s="21">
        <f t="shared" si="22"/>
        <v>0.07939632546</v>
      </c>
      <c r="Q71" s="21">
        <v>0.482</v>
      </c>
      <c r="R71" s="21">
        <v>0.0756</v>
      </c>
      <c r="S71" s="21">
        <f t="shared" si="23"/>
        <v>0.2480314961</v>
      </c>
      <c r="T71" s="19" t="str">
        <f t="shared" si="28"/>
        <v>0.0793963254593176+248031.496062992i</v>
      </c>
      <c r="U71" s="19" t="str">
        <f t="shared" si="25"/>
        <v>1.29058536995032E-12-0.00000403174603174562i</v>
      </c>
      <c r="V71" s="21">
        <f t="shared" si="26"/>
        <v>-0.000004031746032</v>
      </c>
      <c r="W71" s="22">
        <f t="shared" si="29"/>
        <v>-10.6945385</v>
      </c>
      <c r="X71" s="21">
        <f t="shared" si="30"/>
        <v>3.207611549</v>
      </c>
    </row>
    <row r="72" ht="14.25" customHeight="1">
      <c r="A72" s="19" t="s">
        <v>546</v>
      </c>
      <c r="E72" s="19" t="s">
        <v>542</v>
      </c>
      <c r="F72" s="19" t="s">
        <v>205</v>
      </c>
      <c r="G72" s="21">
        <v>138.0</v>
      </c>
      <c r="H72" s="21">
        <v>108.0</v>
      </c>
      <c r="I72" s="21">
        <v>100.0</v>
      </c>
      <c r="J72" s="21">
        <f t="shared" si="20"/>
        <v>190.44</v>
      </c>
      <c r="K72" s="25">
        <v>1600.0</v>
      </c>
      <c r="L72" s="20" t="s">
        <v>516</v>
      </c>
      <c r="M72" s="21">
        <v>13.45</v>
      </c>
      <c r="N72" s="21">
        <f t="shared" si="21"/>
        <v>44.127298</v>
      </c>
      <c r="O72" s="25">
        <v>8.44E-6</v>
      </c>
      <c r="P72" s="21">
        <f t="shared" si="22"/>
        <v>0.00002769028871</v>
      </c>
      <c r="Q72" s="25" t="s">
        <v>250</v>
      </c>
      <c r="R72" s="25">
        <v>7.56E-5</v>
      </c>
      <c r="S72" s="21">
        <f t="shared" si="23"/>
        <v>0.0002480314961</v>
      </c>
      <c r="T72" s="19" t="str">
        <f t="shared" ref="T72:T73" si="31">COMPLEX(O72,R72,"i")</f>
        <v>0.00000844+0.0000756i</v>
      </c>
      <c r="U72" s="20" t="str">
        <f t="shared" si="25"/>
        <v>1458.54376225764-13064.6810932083i</v>
      </c>
      <c r="V72" s="20">
        <f t="shared" si="26"/>
        <v>-13064.68109</v>
      </c>
      <c r="W72" s="25">
        <v>-10.695</v>
      </c>
      <c r="X72" s="21">
        <f t="shared" ref="X72:X73" si="32">O72*M72</f>
        <v>0.000113518</v>
      </c>
    </row>
    <row r="73" ht="14.25" customHeight="1">
      <c r="A73" s="19" t="s">
        <v>547</v>
      </c>
      <c r="E73" s="19" t="s">
        <v>542</v>
      </c>
      <c r="F73" s="19" t="s">
        <v>205</v>
      </c>
      <c r="G73" s="21">
        <v>138.0</v>
      </c>
      <c r="H73" s="21">
        <v>108.0</v>
      </c>
      <c r="I73" s="21">
        <v>100.0</v>
      </c>
      <c r="J73" s="21">
        <f t="shared" si="20"/>
        <v>190.44</v>
      </c>
      <c r="K73" s="25">
        <v>1600.0</v>
      </c>
      <c r="L73" s="20" t="s">
        <v>516</v>
      </c>
      <c r="M73" s="21">
        <v>13.45</v>
      </c>
      <c r="N73" s="21">
        <f t="shared" si="21"/>
        <v>44.127298</v>
      </c>
      <c r="O73" s="25">
        <v>8.44E-6</v>
      </c>
      <c r="P73" s="21">
        <f t="shared" si="22"/>
        <v>0.00002769028871</v>
      </c>
      <c r="Q73" s="25" t="s">
        <v>250</v>
      </c>
      <c r="R73" s="25">
        <v>7.56E-5</v>
      </c>
      <c r="S73" s="21">
        <f t="shared" si="23"/>
        <v>0.0002480314961</v>
      </c>
      <c r="T73" s="19" t="str">
        <f t="shared" si="31"/>
        <v>0.00000844+0.0000756i</v>
      </c>
      <c r="U73" s="20" t="str">
        <f t="shared" si="25"/>
        <v>1458.54376225764-13064.6810932083i</v>
      </c>
      <c r="V73" s="20">
        <f t="shared" si="26"/>
        <v>-13064.68109</v>
      </c>
      <c r="W73" s="25">
        <v>-10.695</v>
      </c>
      <c r="X73" s="21">
        <f t="shared" si="32"/>
        <v>0.000113518</v>
      </c>
    </row>
    <row r="74" ht="14.25" customHeight="1">
      <c r="A74" s="19" t="s">
        <v>548</v>
      </c>
      <c r="B74" s="19" t="s">
        <v>549</v>
      </c>
      <c r="C74" s="20">
        <v>154.0</v>
      </c>
      <c r="D74" s="20" t="s">
        <v>444</v>
      </c>
      <c r="E74" s="19" t="s">
        <v>525</v>
      </c>
      <c r="F74" s="19" t="s">
        <v>550</v>
      </c>
      <c r="G74" s="21">
        <v>230.0</v>
      </c>
      <c r="H74" s="21">
        <v>1276.0</v>
      </c>
      <c r="I74" s="21">
        <v>100.0</v>
      </c>
      <c r="J74" s="21">
        <f t="shared" si="20"/>
        <v>529</v>
      </c>
      <c r="K74" s="21">
        <v>795.0</v>
      </c>
      <c r="L74" s="20" t="s">
        <v>446</v>
      </c>
      <c r="M74" s="21">
        <v>25.0</v>
      </c>
      <c r="N74" s="21">
        <f t="shared" si="21"/>
        <v>82.021</v>
      </c>
      <c r="O74" s="21">
        <v>0.0242</v>
      </c>
      <c r="P74" s="21">
        <f t="shared" si="22"/>
        <v>0.07939632546</v>
      </c>
      <c r="Q74" s="21">
        <v>0.482</v>
      </c>
      <c r="R74" s="21">
        <v>0.0756</v>
      </c>
      <c r="S74" s="21">
        <f t="shared" si="23"/>
        <v>0.2480314961</v>
      </c>
      <c r="T74" s="19" t="str">
        <f t="shared" ref="T74:T97" si="33">COMPLEX(P74,S74*1000000,"i")</f>
        <v>0.0793963254593176+248031.496062992i</v>
      </c>
      <c r="U74" s="19" t="str">
        <f t="shared" si="25"/>
        <v>1.29058536995032E-12-0.00000403174603174562i</v>
      </c>
      <c r="V74" s="21">
        <f t="shared" si="26"/>
        <v>-0.000004031746032</v>
      </c>
      <c r="W74" s="22">
        <f t="shared" ref="W74:W97" si="34">(V74/(2*PI()*(60)))*1000000000</f>
        <v>-10.6945385</v>
      </c>
      <c r="X74" s="21">
        <f t="shared" ref="X74:X75" si="35">P74*M74</f>
        <v>1.984908136</v>
      </c>
    </row>
    <row r="75" ht="14.25" customHeight="1">
      <c r="A75" s="19" t="s">
        <v>551</v>
      </c>
      <c r="E75" s="19" t="s">
        <v>525</v>
      </c>
      <c r="F75" s="19" t="s">
        <v>550</v>
      </c>
      <c r="G75" s="21">
        <v>230.0</v>
      </c>
      <c r="H75" s="21">
        <v>1276.0</v>
      </c>
      <c r="I75" s="21">
        <v>100.0</v>
      </c>
      <c r="J75" s="21">
        <f t="shared" si="20"/>
        <v>529</v>
      </c>
      <c r="K75" s="21">
        <v>795.0</v>
      </c>
      <c r="L75" s="20" t="s">
        <v>446</v>
      </c>
      <c r="M75" s="21">
        <v>25.0</v>
      </c>
      <c r="N75" s="21">
        <f t="shared" si="21"/>
        <v>82.021</v>
      </c>
      <c r="O75" s="21">
        <v>0.0242</v>
      </c>
      <c r="P75" s="21">
        <f t="shared" si="22"/>
        <v>0.07939632546</v>
      </c>
      <c r="Q75" s="21">
        <v>0.482</v>
      </c>
      <c r="R75" s="21">
        <v>0.0756</v>
      </c>
      <c r="S75" s="21">
        <f t="shared" si="23"/>
        <v>0.2480314961</v>
      </c>
      <c r="T75" s="19" t="str">
        <f t="shared" si="33"/>
        <v>0.0793963254593176+248031.496062992i</v>
      </c>
      <c r="U75" s="19" t="str">
        <f t="shared" si="25"/>
        <v>1.29058536995032E-12-0.00000403174603174562i</v>
      </c>
      <c r="V75" s="21">
        <f t="shared" si="26"/>
        <v>-0.000004031746032</v>
      </c>
      <c r="W75" s="22">
        <f t="shared" si="34"/>
        <v>-10.6945385</v>
      </c>
      <c r="X75" s="21">
        <f t="shared" si="35"/>
        <v>1.984908136</v>
      </c>
    </row>
    <row r="76" ht="14.25" customHeight="1">
      <c r="A76" s="19" t="s">
        <v>552</v>
      </c>
      <c r="B76" s="24"/>
      <c r="E76" s="19" t="s">
        <v>550</v>
      </c>
      <c r="F76" s="19" t="s">
        <v>553</v>
      </c>
      <c r="G76" s="21">
        <v>230.0</v>
      </c>
      <c r="H76" s="21">
        <v>666.0</v>
      </c>
      <c r="I76" s="21">
        <v>100.0</v>
      </c>
      <c r="J76" s="21">
        <f t="shared" si="20"/>
        <v>529</v>
      </c>
      <c r="K76" s="25">
        <v>1600.0</v>
      </c>
      <c r="L76" s="20" t="s">
        <v>516</v>
      </c>
      <c r="M76" s="21">
        <v>25.79</v>
      </c>
      <c r="N76" s="21">
        <f t="shared" si="21"/>
        <v>84.6128636</v>
      </c>
      <c r="O76" s="25">
        <v>8.44E-6</v>
      </c>
      <c r="P76" s="21">
        <f t="shared" si="22"/>
        <v>0.00002769028871</v>
      </c>
      <c r="Q76" s="26" t="s">
        <v>250</v>
      </c>
      <c r="R76" s="25">
        <v>7.56E-5</v>
      </c>
      <c r="S76" s="21">
        <f t="shared" si="23"/>
        <v>0.0002480314961</v>
      </c>
      <c r="T76" s="19" t="str">
        <f t="shared" si="33"/>
        <v>0.0000276902887139108+248.031496062992i</v>
      </c>
      <c r="U76" s="20" t="str">
        <f t="shared" si="25"/>
        <v>0.000000000450104980263706-0.00403174603174598i</v>
      </c>
      <c r="V76" s="20">
        <f t="shared" si="26"/>
        <v>-0.004031746032</v>
      </c>
      <c r="W76" s="22">
        <f t="shared" si="34"/>
        <v>-10694.5385</v>
      </c>
      <c r="X76" s="21">
        <f t="shared" ref="X76:X77" si="36">O76*M76</f>
        <v>0.0002176676</v>
      </c>
    </row>
    <row r="77" ht="14.25" customHeight="1">
      <c r="A77" s="19" t="s">
        <v>554</v>
      </c>
      <c r="E77" s="19" t="s">
        <v>550</v>
      </c>
      <c r="F77" s="19" t="s">
        <v>553</v>
      </c>
      <c r="G77" s="21">
        <v>230.0</v>
      </c>
      <c r="H77" s="21">
        <v>666.0</v>
      </c>
      <c r="I77" s="21">
        <v>100.0</v>
      </c>
      <c r="J77" s="21">
        <f t="shared" si="20"/>
        <v>529</v>
      </c>
      <c r="K77" s="25">
        <v>1600.0</v>
      </c>
      <c r="L77" s="20" t="s">
        <v>516</v>
      </c>
      <c r="M77" s="21">
        <v>25.79</v>
      </c>
      <c r="N77" s="21">
        <f t="shared" si="21"/>
        <v>84.6128636</v>
      </c>
      <c r="O77" s="25">
        <v>8.44E-6</v>
      </c>
      <c r="P77" s="21">
        <f t="shared" si="22"/>
        <v>0.00002769028871</v>
      </c>
      <c r="Q77" s="26" t="s">
        <v>250</v>
      </c>
      <c r="R77" s="25">
        <v>7.56E-5</v>
      </c>
      <c r="S77" s="21">
        <f t="shared" si="23"/>
        <v>0.0002480314961</v>
      </c>
      <c r="T77" s="19" t="str">
        <f t="shared" si="33"/>
        <v>0.0000276902887139108+248.031496062992i</v>
      </c>
      <c r="U77" s="20" t="str">
        <f t="shared" si="25"/>
        <v>0.000000000450104980263706-0.00403174603174598i</v>
      </c>
      <c r="V77" s="20">
        <f t="shared" si="26"/>
        <v>-0.004031746032</v>
      </c>
      <c r="W77" s="22">
        <f t="shared" si="34"/>
        <v>-10694.5385</v>
      </c>
      <c r="X77" s="21">
        <f t="shared" si="36"/>
        <v>0.0002176676</v>
      </c>
    </row>
    <row r="78" ht="14.25" customHeight="1">
      <c r="A78" s="19" t="s">
        <v>555</v>
      </c>
      <c r="E78" s="19" t="s">
        <v>531</v>
      </c>
      <c r="F78" s="19" t="s">
        <v>314</v>
      </c>
      <c r="G78" s="21">
        <v>138.0</v>
      </c>
      <c r="H78" s="21">
        <v>196.0</v>
      </c>
      <c r="I78" s="21">
        <v>100.0</v>
      </c>
      <c r="J78" s="21">
        <f t="shared" si="20"/>
        <v>190.44</v>
      </c>
      <c r="K78" s="25">
        <v>795.0</v>
      </c>
      <c r="L78" s="20" t="s">
        <v>446</v>
      </c>
      <c r="M78" s="21">
        <v>15.0</v>
      </c>
      <c r="N78" s="21">
        <f t="shared" si="21"/>
        <v>49.2126</v>
      </c>
      <c r="O78" s="21">
        <v>0.0242</v>
      </c>
      <c r="P78" s="21">
        <f t="shared" si="22"/>
        <v>0.07939632546</v>
      </c>
      <c r="Q78" s="25">
        <v>0.482</v>
      </c>
      <c r="R78" s="21">
        <v>0.0756</v>
      </c>
      <c r="S78" s="21">
        <f t="shared" si="23"/>
        <v>0.2480314961</v>
      </c>
      <c r="T78" s="19" t="str">
        <f t="shared" si="33"/>
        <v>0.0793963254593176+248031.496062992i</v>
      </c>
      <c r="U78" s="19" t="str">
        <f t="shared" si="25"/>
        <v>1.29058536995032E-12-0.00000403174603174562i</v>
      </c>
      <c r="V78" s="21">
        <f t="shared" si="26"/>
        <v>-0.000004031746032</v>
      </c>
      <c r="W78" s="22">
        <f t="shared" si="34"/>
        <v>-10.6945385</v>
      </c>
      <c r="X78" s="21">
        <f t="shared" ref="X78:X95" si="37">P78*M78</f>
        <v>1.190944882</v>
      </c>
    </row>
    <row r="79" ht="14.25" customHeight="1">
      <c r="A79" s="19" t="s">
        <v>556</v>
      </c>
      <c r="E79" s="19" t="s">
        <v>531</v>
      </c>
      <c r="F79" s="19" t="s">
        <v>557</v>
      </c>
      <c r="G79" s="21">
        <v>138.0</v>
      </c>
      <c r="H79" s="21">
        <v>392.0</v>
      </c>
      <c r="I79" s="21">
        <v>100.0</v>
      </c>
      <c r="J79" s="21">
        <f t="shared" si="20"/>
        <v>190.44</v>
      </c>
      <c r="K79" s="25">
        <v>795.0</v>
      </c>
      <c r="L79" s="20" t="s">
        <v>446</v>
      </c>
      <c r="M79" s="21">
        <v>12.86</v>
      </c>
      <c r="N79" s="21">
        <f t="shared" si="21"/>
        <v>42.1916024</v>
      </c>
      <c r="O79" s="21">
        <v>0.0242</v>
      </c>
      <c r="P79" s="21">
        <f t="shared" si="22"/>
        <v>0.07939632546</v>
      </c>
      <c r="Q79" s="25">
        <v>0.482</v>
      </c>
      <c r="R79" s="21">
        <v>0.0756</v>
      </c>
      <c r="S79" s="21">
        <f t="shared" si="23"/>
        <v>0.2480314961</v>
      </c>
      <c r="T79" s="19" t="str">
        <f t="shared" si="33"/>
        <v>0.0793963254593176+248031.496062992i</v>
      </c>
      <c r="U79" s="19" t="str">
        <f t="shared" si="25"/>
        <v>1.29058536995032E-12-0.00000403174603174562i</v>
      </c>
      <c r="V79" s="21">
        <f t="shared" si="26"/>
        <v>-0.000004031746032</v>
      </c>
      <c r="W79" s="22">
        <f t="shared" si="34"/>
        <v>-10.6945385</v>
      </c>
      <c r="X79" s="21">
        <f t="shared" si="37"/>
        <v>1.021036745</v>
      </c>
    </row>
    <row r="80" ht="14.25" customHeight="1">
      <c r="A80" s="19" t="s">
        <v>558</v>
      </c>
      <c r="E80" s="19" t="s">
        <v>531</v>
      </c>
      <c r="F80" s="19" t="s">
        <v>528</v>
      </c>
      <c r="G80" s="21">
        <v>138.0</v>
      </c>
      <c r="H80" s="21">
        <v>392.0</v>
      </c>
      <c r="I80" s="21">
        <v>100.0</v>
      </c>
      <c r="J80" s="21">
        <f t="shared" si="20"/>
        <v>190.44</v>
      </c>
      <c r="K80" s="25">
        <v>795.0</v>
      </c>
      <c r="L80" s="20" t="s">
        <v>446</v>
      </c>
      <c r="M80" s="21">
        <v>23.13</v>
      </c>
      <c r="N80" s="21">
        <f t="shared" si="21"/>
        <v>75.8858292</v>
      </c>
      <c r="O80" s="21">
        <v>0.0242</v>
      </c>
      <c r="P80" s="21">
        <f t="shared" si="22"/>
        <v>0.07939632546</v>
      </c>
      <c r="Q80" s="25">
        <v>0.482</v>
      </c>
      <c r="R80" s="21">
        <v>0.0756</v>
      </c>
      <c r="S80" s="21">
        <f t="shared" si="23"/>
        <v>0.2480314961</v>
      </c>
      <c r="T80" s="19" t="str">
        <f t="shared" si="33"/>
        <v>0.0793963254593176+248031.496062992i</v>
      </c>
      <c r="U80" s="19" t="str">
        <f t="shared" si="25"/>
        <v>1.29058536995032E-12-0.00000403174603174562i</v>
      </c>
      <c r="V80" s="21">
        <f t="shared" si="26"/>
        <v>-0.000004031746032</v>
      </c>
      <c r="W80" s="22">
        <f t="shared" si="34"/>
        <v>-10.6945385</v>
      </c>
      <c r="X80" s="21">
        <f t="shared" si="37"/>
        <v>1.836437008</v>
      </c>
    </row>
    <row r="81" ht="14.25" customHeight="1">
      <c r="A81" s="19" t="s">
        <v>559</v>
      </c>
      <c r="E81" s="19" t="s">
        <v>531</v>
      </c>
      <c r="F81" s="19" t="s">
        <v>528</v>
      </c>
      <c r="G81" s="21">
        <v>138.0</v>
      </c>
      <c r="H81" s="21">
        <v>392.0</v>
      </c>
      <c r="I81" s="21">
        <v>100.0</v>
      </c>
      <c r="J81" s="21">
        <f t="shared" si="20"/>
        <v>190.44</v>
      </c>
      <c r="K81" s="25">
        <v>795.0</v>
      </c>
      <c r="L81" s="20" t="s">
        <v>446</v>
      </c>
      <c r="M81" s="21">
        <v>23.13</v>
      </c>
      <c r="N81" s="21">
        <f t="shared" si="21"/>
        <v>75.8858292</v>
      </c>
      <c r="O81" s="21">
        <v>0.0242</v>
      </c>
      <c r="P81" s="21">
        <f t="shared" si="22"/>
        <v>0.07939632546</v>
      </c>
      <c r="Q81" s="25">
        <v>0.482</v>
      </c>
      <c r="R81" s="21">
        <v>0.0756</v>
      </c>
      <c r="S81" s="21">
        <f t="shared" si="23"/>
        <v>0.2480314961</v>
      </c>
      <c r="T81" s="19" t="str">
        <f t="shared" si="33"/>
        <v>0.0793963254593176+248031.496062992i</v>
      </c>
      <c r="U81" s="19" t="str">
        <f t="shared" si="25"/>
        <v>1.29058536995032E-12-0.00000403174603174562i</v>
      </c>
      <c r="V81" s="21">
        <f t="shared" si="26"/>
        <v>-0.000004031746032</v>
      </c>
      <c r="W81" s="22">
        <f t="shared" si="34"/>
        <v>-10.6945385</v>
      </c>
      <c r="X81" s="21">
        <f t="shared" si="37"/>
        <v>1.836437008</v>
      </c>
    </row>
    <row r="82" ht="14.25" customHeight="1">
      <c r="A82" s="19" t="s">
        <v>560</v>
      </c>
      <c r="E82" s="19" t="s">
        <v>531</v>
      </c>
      <c r="F82" s="19" t="s">
        <v>561</v>
      </c>
      <c r="G82" s="21">
        <v>138.0</v>
      </c>
      <c r="H82" s="21">
        <v>196.0</v>
      </c>
      <c r="I82" s="21">
        <v>100.0</v>
      </c>
      <c r="J82" s="21">
        <f t="shared" si="20"/>
        <v>190.44</v>
      </c>
      <c r="K82" s="25">
        <v>795.0</v>
      </c>
      <c r="L82" s="20" t="s">
        <v>446</v>
      </c>
      <c r="M82" s="21">
        <v>0.7</v>
      </c>
      <c r="N82" s="21">
        <f t="shared" si="21"/>
        <v>2.296588</v>
      </c>
      <c r="O82" s="21">
        <v>0.0242</v>
      </c>
      <c r="P82" s="21">
        <f t="shared" si="22"/>
        <v>0.07939632546</v>
      </c>
      <c r="Q82" s="25">
        <v>0.482</v>
      </c>
      <c r="R82" s="21">
        <v>0.0756</v>
      </c>
      <c r="S82" s="21">
        <f t="shared" si="23"/>
        <v>0.2480314961</v>
      </c>
      <c r="T82" s="19" t="str">
        <f t="shared" si="33"/>
        <v>0.0793963254593176+248031.496062992i</v>
      </c>
      <c r="U82" s="19" t="str">
        <f t="shared" si="25"/>
        <v>1.29058536995032E-12-0.00000403174603174562i</v>
      </c>
      <c r="V82" s="21">
        <f t="shared" si="26"/>
        <v>-0.000004031746032</v>
      </c>
      <c r="W82" s="22">
        <f t="shared" si="34"/>
        <v>-10.6945385</v>
      </c>
      <c r="X82" s="21">
        <f t="shared" si="37"/>
        <v>0.05557742782</v>
      </c>
    </row>
    <row r="83" ht="14.25" customHeight="1">
      <c r="A83" s="19" t="s">
        <v>562</v>
      </c>
      <c r="E83" s="19" t="s">
        <v>531</v>
      </c>
      <c r="F83" s="19" t="s">
        <v>561</v>
      </c>
      <c r="G83" s="21">
        <v>138.0</v>
      </c>
      <c r="H83" s="21">
        <v>196.0</v>
      </c>
      <c r="I83" s="21">
        <v>100.0</v>
      </c>
      <c r="J83" s="21">
        <f t="shared" si="20"/>
        <v>190.44</v>
      </c>
      <c r="K83" s="25">
        <v>795.0</v>
      </c>
      <c r="L83" s="20" t="s">
        <v>446</v>
      </c>
      <c r="M83" s="21">
        <v>0.7</v>
      </c>
      <c r="N83" s="21">
        <f t="shared" si="21"/>
        <v>2.296588</v>
      </c>
      <c r="O83" s="21">
        <v>0.0242</v>
      </c>
      <c r="P83" s="21">
        <f t="shared" si="22"/>
        <v>0.07939632546</v>
      </c>
      <c r="Q83" s="25">
        <v>0.482</v>
      </c>
      <c r="R83" s="21">
        <v>0.0756</v>
      </c>
      <c r="S83" s="21">
        <f t="shared" si="23"/>
        <v>0.2480314961</v>
      </c>
      <c r="T83" s="19" t="str">
        <f t="shared" si="33"/>
        <v>0.0793963254593176+248031.496062992i</v>
      </c>
      <c r="U83" s="19" t="str">
        <f t="shared" si="25"/>
        <v>1.29058536995032E-12-0.00000403174603174562i</v>
      </c>
      <c r="V83" s="21">
        <f t="shared" si="26"/>
        <v>-0.000004031746032</v>
      </c>
      <c r="W83" s="22">
        <f t="shared" si="34"/>
        <v>-10.6945385</v>
      </c>
      <c r="X83" s="21">
        <f t="shared" si="37"/>
        <v>0.05557742782</v>
      </c>
    </row>
    <row r="84" ht="14.25" customHeight="1">
      <c r="A84" s="19" t="s">
        <v>563</v>
      </c>
      <c r="E84" s="19" t="s">
        <v>531</v>
      </c>
      <c r="F84" s="19" t="s">
        <v>564</v>
      </c>
      <c r="G84" s="21">
        <v>138.0</v>
      </c>
      <c r="H84" s="21">
        <v>196.0</v>
      </c>
      <c r="I84" s="21">
        <v>100.0</v>
      </c>
      <c r="J84" s="21">
        <f t="shared" si="20"/>
        <v>190.44</v>
      </c>
      <c r="K84" s="25">
        <v>795.0</v>
      </c>
      <c r="L84" s="20" t="s">
        <v>446</v>
      </c>
      <c r="M84" s="21">
        <v>0.7</v>
      </c>
      <c r="N84" s="21">
        <f t="shared" si="21"/>
        <v>2.296588</v>
      </c>
      <c r="O84" s="21">
        <v>0.0242</v>
      </c>
      <c r="P84" s="21">
        <f t="shared" si="22"/>
        <v>0.07939632546</v>
      </c>
      <c r="Q84" s="25">
        <v>0.482</v>
      </c>
      <c r="R84" s="21">
        <v>0.0756</v>
      </c>
      <c r="S84" s="21">
        <f t="shared" si="23"/>
        <v>0.2480314961</v>
      </c>
      <c r="T84" s="19" t="str">
        <f t="shared" si="33"/>
        <v>0.0793963254593176+248031.496062992i</v>
      </c>
      <c r="U84" s="19" t="str">
        <f t="shared" si="25"/>
        <v>1.29058536995032E-12-0.00000403174603174562i</v>
      </c>
      <c r="V84" s="21">
        <f t="shared" si="26"/>
        <v>-0.000004031746032</v>
      </c>
      <c r="W84" s="22">
        <f t="shared" si="34"/>
        <v>-10.6945385</v>
      </c>
      <c r="X84" s="21">
        <f t="shared" si="37"/>
        <v>0.05557742782</v>
      </c>
    </row>
    <row r="85" ht="14.25" customHeight="1">
      <c r="A85" s="19" t="s">
        <v>565</v>
      </c>
      <c r="E85" s="19" t="s">
        <v>531</v>
      </c>
      <c r="F85" s="19" t="s">
        <v>564</v>
      </c>
      <c r="G85" s="21">
        <v>138.0</v>
      </c>
      <c r="H85" s="21">
        <v>196.0</v>
      </c>
      <c r="I85" s="21">
        <v>100.0</v>
      </c>
      <c r="J85" s="21">
        <f t="shared" si="20"/>
        <v>190.44</v>
      </c>
      <c r="K85" s="25">
        <v>795.0</v>
      </c>
      <c r="L85" s="20" t="s">
        <v>446</v>
      </c>
      <c r="M85" s="21">
        <v>0.7</v>
      </c>
      <c r="N85" s="21">
        <f t="shared" si="21"/>
        <v>2.296588</v>
      </c>
      <c r="O85" s="21">
        <v>0.0242</v>
      </c>
      <c r="P85" s="21">
        <f t="shared" si="22"/>
        <v>0.07939632546</v>
      </c>
      <c r="Q85" s="25">
        <v>0.482</v>
      </c>
      <c r="R85" s="21">
        <v>0.0756</v>
      </c>
      <c r="S85" s="21">
        <f t="shared" si="23"/>
        <v>0.2480314961</v>
      </c>
      <c r="T85" s="19" t="str">
        <f t="shared" si="33"/>
        <v>0.0793963254593176+248031.496062992i</v>
      </c>
      <c r="U85" s="19" t="str">
        <f t="shared" si="25"/>
        <v>1.29058536995032E-12-0.00000403174603174562i</v>
      </c>
      <c r="V85" s="21">
        <f t="shared" si="26"/>
        <v>-0.000004031746032</v>
      </c>
      <c r="W85" s="22">
        <f t="shared" si="34"/>
        <v>-10.6945385</v>
      </c>
      <c r="X85" s="21">
        <f t="shared" si="37"/>
        <v>0.05557742782</v>
      </c>
    </row>
    <row r="86" ht="14.25" customHeight="1">
      <c r="A86" s="19" t="s">
        <v>566</v>
      </c>
      <c r="E86" s="19" t="s">
        <v>567</v>
      </c>
      <c r="F86" s="19" t="s">
        <v>537</v>
      </c>
      <c r="G86" s="21">
        <v>69.0</v>
      </c>
      <c r="H86" s="21">
        <v>63.0</v>
      </c>
      <c r="I86" s="21">
        <v>100.0</v>
      </c>
      <c r="J86" s="21">
        <f t="shared" si="20"/>
        <v>47.61</v>
      </c>
      <c r="K86" s="25">
        <v>795.0</v>
      </c>
      <c r="L86" s="20" t="s">
        <v>446</v>
      </c>
      <c r="M86" s="21">
        <v>0.275</v>
      </c>
      <c r="N86" s="21">
        <f t="shared" si="21"/>
        <v>0.902231</v>
      </c>
      <c r="O86" s="21">
        <v>0.0242</v>
      </c>
      <c r="P86" s="21">
        <f t="shared" si="22"/>
        <v>0.07939632546</v>
      </c>
      <c r="Q86" s="25">
        <v>0.482</v>
      </c>
      <c r="R86" s="21">
        <v>0.0756</v>
      </c>
      <c r="S86" s="21">
        <f t="shared" si="23"/>
        <v>0.2480314961</v>
      </c>
      <c r="T86" s="19" t="str">
        <f t="shared" si="33"/>
        <v>0.0793963254593176+248031.496062992i</v>
      </c>
      <c r="U86" s="19" t="str">
        <f t="shared" si="25"/>
        <v>1.29058536995032E-12-0.00000403174603174562i</v>
      </c>
      <c r="V86" s="21">
        <f t="shared" si="26"/>
        <v>-0.000004031746032</v>
      </c>
      <c r="W86" s="22">
        <f t="shared" si="34"/>
        <v>-10.6945385</v>
      </c>
      <c r="X86" s="21">
        <f t="shared" si="37"/>
        <v>0.0218339895</v>
      </c>
    </row>
    <row r="87" ht="14.25" customHeight="1">
      <c r="A87" s="19" t="s">
        <v>568</v>
      </c>
      <c r="E87" s="19" t="s">
        <v>557</v>
      </c>
      <c r="F87" s="19" t="s">
        <v>528</v>
      </c>
      <c r="G87" s="21">
        <v>138.0</v>
      </c>
      <c r="H87" s="21">
        <v>392.0</v>
      </c>
      <c r="I87" s="21">
        <v>100.0</v>
      </c>
      <c r="J87" s="21">
        <f t="shared" si="20"/>
        <v>190.44</v>
      </c>
      <c r="K87" s="25">
        <v>795.0</v>
      </c>
      <c r="L87" s="20" t="s">
        <v>446</v>
      </c>
      <c r="M87" s="21">
        <v>10.5</v>
      </c>
      <c r="N87" s="21">
        <f t="shared" si="21"/>
        <v>34.44882</v>
      </c>
      <c r="O87" s="21">
        <v>0.0242</v>
      </c>
      <c r="P87" s="21">
        <f t="shared" si="22"/>
        <v>0.07939632546</v>
      </c>
      <c r="Q87" s="25">
        <v>0.482</v>
      </c>
      <c r="R87" s="21">
        <v>0.0756</v>
      </c>
      <c r="S87" s="21">
        <f t="shared" si="23"/>
        <v>0.2480314961</v>
      </c>
      <c r="T87" s="19" t="str">
        <f t="shared" si="33"/>
        <v>0.0793963254593176+248031.496062992i</v>
      </c>
      <c r="U87" s="19" t="str">
        <f t="shared" si="25"/>
        <v>1.29058536995032E-12-0.00000403174603174562i</v>
      </c>
      <c r="V87" s="21">
        <f t="shared" si="26"/>
        <v>-0.000004031746032</v>
      </c>
      <c r="W87" s="22">
        <f t="shared" si="34"/>
        <v>-10.6945385</v>
      </c>
      <c r="X87" s="21">
        <f t="shared" si="37"/>
        <v>0.8336614173</v>
      </c>
    </row>
    <row r="88" ht="14.25" customHeight="1">
      <c r="A88" s="19" t="s">
        <v>569</v>
      </c>
      <c r="E88" s="19" t="s">
        <v>528</v>
      </c>
      <c r="F88" s="19" t="s">
        <v>570</v>
      </c>
      <c r="G88" s="21">
        <v>138.0</v>
      </c>
      <c r="H88" s="21">
        <v>423.0</v>
      </c>
      <c r="I88" s="21">
        <v>100.0</v>
      </c>
      <c r="J88" s="21">
        <f t="shared" si="20"/>
        <v>190.44</v>
      </c>
      <c r="K88" s="25">
        <v>795.0</v>
      </c>
      <c r="L88" s="20" t="s">
        <v>446</v>
      </c>
      <c r="M88" s="21">
        <v>15.32</v>
      </c>
      <c r="N88" s="21">
        <f t="shared" si="21"/>
        <v>50.2624688</v>
      </c>
      <c r="O88" s="21">
        <v>0.0242</v>
      </c>
      <c r="P88" s="21">
        <f t="shared" si="22"/>
        <v>0.07939632546</v>
      </c>
      <c r="Q88" s="25">
        <v>0.482</v>
      </c>
      <c r="R88" s="21">
        <v>0.0756</v>
      </c>
      <c r="S88" s="21">
        <f t="shared" si="23"/>
        <v>0.2480314961</v>
      </c>
      <c r="T88" s="19" t="str">
        <f t="shared" si="33"/>
        <v>0.0793963254593176+248031.496062992i</v>
      </c>
      <c r="U88" s="19" t="str">
        <f t="shared" si="25"/>
        <v>1.29058536995032E-12-0.00000403174603174562i</v>
      </c>
      <c r="V88" s="21">
        <f t="shared" si="26"/>
        <v>-0.000004031746032</v>
      </c>
      <c r="W88" s="22">
        <f t="shared" si="34"/>
        <v>-10.6945385</v>
      </c>
      <c r="X88" s="21">
        <f t="shared" si="37"/>
        <v>1.216351706</v>
      </c>
    </row>
    <row r="89" ht="14.25" customHeight="1">
      <c r="A89" s="19" t="s">
        <v>571</v>
      </c>
      <c r="E89" s="19" t="s">
        <v>528</v>
      </c>
      <c r="F89" s="19" t="s">
        <v>570</v>
      </c>
      <c r="G89" s="21">
        <v>138.0</v>
      </c>
      <c r="H89" s="21">
        <v>423.0</v>
      </c>
      <c r="I89" s="21">
        <v>100.0</v>
      </c>
      <c r="J89" s="21">
        <f t="shared" si="20"/>
        <v>190.44</v>
      </c>
      <c r="K89" s="25">
        <v>795.0</v>
      </c>
      <c r="L89" s="20" t="s">
        <v>446</v>
      </c>
      <c r="M89" s="21">
        <v>15.32</v>
      </c>
      <c r="N89" s="21">
        <f t="shared" si="21"/>
        <v>50.2624688</v>
      </c>
      <c r="O89" s="21">
        <v>0.0242</v>
      </c>
      <c r="P89" s="21">
        <f t="shared" si="22"/>
        <v>0.07939632546</v>
      </c>
      <c r="Q89" s="25">
        <v>0.482</v>
      </c>
      <c r="R89" s="21">
        <v>0.0756</v>
      </c>
      <c r="S89" s="21">
        <f t="shared" si="23"/>
        <v>0.2480314961</v>
      </c>
      <c r="T89" s="19" t="str">
        <f t="shared" si="33"/>
        <v>0.0793963254593176+248031.496062992i</v>
      </c>
      <c r="U89" s="19" t="str">
        <f t="shared" si="25"/>
        <v>1.29058536995032E-12-0.00000403174603174562i</v>
      </c>
      <c r="V89" s="21">
        <f t="shared" si="26"/>
        <v>-0.000004031746032</v>
      </c>
      <c r="W89" s="22">
        <f t="shared" si="34"/>
        <v>-10.6945385</v>
      </c>
      <c r="X89" s="21">
        <f t="shared" si="37"/>
        <v>1.216351706</v>
      </c>
    </row>
    <row r="90" ht="14.25" customHeight="1">
      <c r="A90" s="19" t="s">
        <v>572</v>
      </c>
      <c r="B90" s="19" t="s">
        <v>573</v>
      </c>
      <c r="C90" s="25"/>
      <c r="D90" s="20" t="s">
        <v>444</v>
      </c>
      <c r="E90" s="19" t="s">
        <v>528</v>
      </c>
      <c r="F90" s="19" t="s">
        <v>574</v>
      </c>
      <c r="G90" s="21">
        <v>138.0</v>
      </c>
      <c r="H90" s="21">
        <v>200.0</v>
      </c>
      <c r="I90" s="21">
        <v>100.0</v>
      </c>
      <c r="J90" s="21">
        <f t="shared" si="20"/>
        <v>190.44</v>
      </c>
      <c r="K90" s="25">
        <v>795.0</v>
      </c>
      <c r="L90" s="20" t="s">
        <v>446</v>
      </c>
      <c r="M90" s="21">
        <v>5.83</v>
      </c>
      <c r="N90" s="21">
        <f t="shared" si="21"/>
        <v>19.1272972</v>
      </c>
      <c r="O90" s="21">
        <v>0.0242</v>
      </c>
      <c r="P90" s="21">
        <f t="shared" si="22"/>
        <v>0.07939632546</v>
      </c>
      <c r="Q90" s="25">
        <v>0.482</v>
      </c>
      <c r="R90" s="21">
        <v>0.0756</v>
      </c>
      <c r="S90" s="21">
        <f t="shared" si="23"/>
        <v>0.2480314961</v>
      </c>
      <c r="T90" s="19" t="str">
        <f t="shared" si="33"/>
        <v>0.0793963254593176+248031.496062992i</v>
      </c>
      <c r="U90" s="19" t="str">
        <f t="shared" si="25"/>
        <v>1.29058536995032E-12-0.00000403174603174562i</v>
      </c>
      <c r="V90" s="21">
        <f t="shared" si="26"/>
        <v>-0.000004031746032</v>
      </c>
      <c r="W90" s="22">
        <f t="shared" si="34"/>
        <v>-10.6945385</v>
      </c>
      <c r="X90" s="21">
        <f t="shared" si="37"/>
        <v>0.4628805774</v>
      </c>
    </row>
    <row r="91" ht="14.25" customHeight="1">
      <c r="A91" s="19" t="s">
        <v>575</v>
      </c>
      <c r="B91" s="19" t="s">
        <v>573</v>
      </c>
      <c r="C91" s="25"/>
      <c r="D91" s="20" t="s">
        <v>444</v>
      </c>
      <c r="E91" s="19" t="s">
        <v>528</v>
      </c>
      <c r="F91" s="19" t="s">
        <v>574</v>
      </c>
      <c r="G91" s="21">
        <v>138.0</v>
      </c>
      <c r="H91" s="21">
        <v>200.0</v>
      </c>
      <c r="I91" s="21">
        <v>100.0</v>
      </c>
      <c r="J91" s="21">
        <f t="shared" si="20"/>
        <v>190.44</v>
      </c>
      <c r="K91" s="25">
        <v>795.0</v>
      </c>
      <c r="L91" s="20" t="s">
        <v>446</v>
      </c>
      <c r="M91" s="21">
        <v>5.83</v>
      </c>
      <c r="N91" s="21">
        <f t="shared" si="21"/>
        <v>19.1272972</v>
      </c>
      <c r="O91" s="21">
        <v>0.0242</v>
      </c>
      <c r="P91" s="21">
        <f t="shared" si="22"/>
        <v>0.07939632546</v>
      </c>
      <c r="Q91" s="25">
        <v>0.482</v>
      </c>
      <c r="R91" s="21">
        <v>0.0756</v>
      </c>
      <c r="S91" s="21">
        <f t="shared" si="23"/>
        <v>0.2480314961</v>
      </c>
      <c r="T91" s="19" t="str">
        <f t="shared" si="33"/>
        <v>0.0793963254593176+248031.496062992i</v>
      </c>
      <c r="U91" s="19" t="str">
        <f t="shared" si="25"/>
        <v>1.29058536995032E-12-0.00000403174603174562i</v>
      </c>
      <c r="V91" s="21">
        <f t="shared" si="26"/>
        <v>-0.000004031746032</v>
      </c>
      <c r="W91" s="22">
        <f t="shared" si="34"/>
        <v>-10.6945385</v>
      </c>
      <c r="X91" s="21">
        <f t="shared" si="37"/>
        <v>0.4628805774</v>
      </c>
    </row>
    <row r="92" ht="14.25" customHeight="1">
      <c r="A92" s="19" t="s">
        <v>576</v>
      </c>
      <c r="B92" s="19" t="s">
        <v>573</v>
      </c>
      <c r="C92" s="25"/>
      <c r="D92" s="20" t="s">
        <v>444</v>
      </c>
      <c r="E92" s="19" t="s">
        <v>574</v>
      </c>
      <c r="F92" s="19" t="s">
        <v>577</v>
      </c>
      <c r="G92" s="21">
        <v>138.0</v>
      </c>
      <c r="H92" s="21">
        <v>100.0</v>
      </c>
      <c r="I92" s="21">
        <v>100.0</v>
      </c>
      <c r="J92" s="21">
        <f t="shared" si="20"/>
        <v>190.44</v>
      </c>
      <c r="K92" s="25">
        <v>1600.0</v>
      </c>
      <c r="L92" s="20" t="s">
        <v>516</v>
      </c>
      <c r="M92" s="21">
        <v>0.81</v>
      </c>
      <c r="N92" s="21">
        <f t="shared" si="21"/>
        <v>2.6574804</v>
      </c>
      <c r="O92" s="21">
        <v>0.0242</v>
      </c>
      <c r="P92" s="21">
        <f t="shared" si="22"/>
        <v>0.07939632546</v>
      </c>
      <c r="Q92" s="25">
        <v>7.56E-5</v>
      </c>
      <c r="R92" s="21">
        <v>0.0756</v>
      </c>
      <c r="S92" s="21">
        <f t="shared" si="23"/>
        <v>0.2480314961</v>
      </c>
      <c r="T92" s="19" t="str">
        <f t="shared" si="33"/>
        <v>0.0793963254593176+248031.496062992i</v>
      </c>
      <c r="U92" s="19" t="str">
        <f t="shared" si="25"/>
        <v>1.29058536995032E-12-0.00000403174603174562i</v>
      </c>
      <c r="V92" s="21">
        <f t="shared" si="26"/>
        <v>-0.000004031746032</v>
      </c>
      <c r="W92" s="22">
        <f t="shared" si="34"/>
        <v>-10.6945385</v>
      </c>
      <c r="X92" s="21">
        <f t="shared" si="37"/>
        <v>0.06431102362</v>
      </c>
    </row>
    <row r="93" ht="14.25" customHeight="1">
      <c r="A93" s="19" t="s">
        <v>578</v>
      </c>
      <c r="B93" s="19" t="s">
        <v>573</v>
      </c>
      <c r="C93" s="25"/>
      <c r="D93" s="20" t="s">
        <v>444</v>
      </c>
      <c r="E93" s="19" t="s">
        <v>574</v>
      </c>
      <c r="F93" s="19" t="s">
        <v>577</v>
      </c>
      <c r="G93" s="21">
        <v>138.0</v>
      </c>
      <c r="H93" s="21">
        <v>100.0</v>
      </c>
      <c r="I93" s="21">
        <v>100.0</v>
      </c>
      <c r="J93" s="21">
        <f t="shared" si="20"/>
        <v>190.44</v>
      </c>
      <c r="K93" s="25">
        <v>1600.0</v>
      </c>
      <c r="L93" s="20" t="s">
        <v>516</v>
      </c>
      <c r="M93" s="21">
        <v>0.81</v>
      </c>
      <c r="N93" s="21">
        <f t="shared" si="21"/>
        <v>2.6574804</v>
      </c>
      <c r="O93" s="21">
        <v>0.0242</v>
      </c>
      <c r="P93" s="21">
        <f t="shared" si="22"/>
        <v>0.07939632546</v>
      </c>
      <c r="Q93" s="25">
        <v>7.56E-5</v>
      </c>
      <c r="R93" s="21">
        <v>0.0756</v>
      </c>
      <c r="S93" s="21">
        <f t="shared" si="23"/>
        <v>0.2480314961</v>
      </c>
      <c r="T93" s="19" t="str">
        <f t="shared" si="33"/>
        <v>0.0793963254593176+248031.496062992i</v>
      </c>
      <c r="U93" s="19" t="str">
        <f t="shared" si="25"/>
        <v>1.29058536995032E-12-0.00000403174603174562i</v>
      </c>
      <c r="V93" s="21">
        <f t="shared" si="26"/>
        <v>-0.000004031746032</v>
      </c>
      <c r="W93" s="22">
        <f t="shared" si="34"/>
        <v>-10.6945385</v>
      </c>
      <c r="X93" s="21">
        <f t="shared" si="37"/>
        <v>0.06431102362</v>
      </c>
    </row>
    <row r="94" ht="14.25" customHeight="1">
      <c r="A94" s="19" t="s">
        <v>579</v>
      </c>
      <c r="B94" s="24" t="s">
        <v>449</v>
      </c>
      <c r="E94" s="19" t="s">
        <v>580</v>
      </c>
      <c r="F94" s="19" t="s">
        <v>570</v>
      </c>
      <c r="G94" s="21">
        <v>230.0</v>
      </c>
      <c r="H94" s="21">
        <v>488.0</v>
      </c>
      <c r="I94" s="21">
        <v>100.0</v>
      </c>
      <c r="J94" s="21">
        <f t="shared" si="20"/>
        <v>529</v>
      </c>
      <c r="K94" s="25">
        <v>795.0</v>
      </c>
      <c r="L94" s="20" t="s">
        <v>446</v>
      </c>
      <c r="M94" s="21">
        <v>87.19</v>
      </c>
      <c r="N94" s="21">
        <f t="shared" si="21"/>
        <v>286.0564396</v>
      </c>
      <c r="O94" s="21">
        <v>0.0242</v>
      </c>
      <c r="P94" s="21">
        <f t="shared" si="22"/>
        <v>0.07939632546</v>
      </c>
      <c r="Q94" s="25">
        <v>0.482</v>
      </c>
      <c r="R94" s="21">
        <v>0.0756</v>
      </c>
      <c r="S94" s="21">
        <f t="shared" si="23"/>
        <v>0.2480314961</v>
      </c>
      <c r="T94" s="19" t="str">
        <f t="shared" si="33"/>
        <v>0.0793963254593176+248031.496062992i</v>
      </c>
      <c r="U94" s="19" t="str">
        <f t="shared" si="25"/>
        <v>1.29058536995032E-12-0.00000403174603174562i</v>
      </c>
      <c r="V94" s="21">
        <f t="shared" si="26"/>
        <v>-0.000004031746032</v>
      </c>
      <c r="W94" s="22">
        <f t="shared" si="34"/>
        <v>-10.6945385</v>
      </c>
      <c r="X94" s="21">
        <f t="shared" si="37"/>
        <v>6.922565617</v>
      </c>
    </row>
    <row r="95" ht="14.25" customHeight="1">
      <c r="A95" s="19" t="s">
        <v>581</v>
      </c>
      <c r="E95" s="19" t="s">
        <v>580</v>
      </c>
      <c r="F95" s="19" t="s">
        <v>570</v>
      </c>
      <c r="G95" s="21">
        <v>230.0</v>
      </c>
      <c r="H95" s="21">
        <v>488.0</v>
      </c>
      <c r="I95" s="21">
        <v>100.0</v>
      </c>
      <c r="J95" s="21">
        <f t="shared" si="20"/>
        <v>529</v>
      </c>
      <c r="K95" s="25">
        <v>795.0</v>
      </c>
      <c r="L95" s="20" t="s">
        <v>446</v>
      </c>
      <c r="M95" s="21">
        <v>87.19</v>
      </c>
      <c r="N95" s="21">
        <f t="shared" si="21"/>
        <v>286.0564396</v>
      </c>
      <c r="O95" s="21">
        <v>0.0242</v>
      </c>
      <c r="P95" s="21">
        <f t="shared" si="22"/>
        <v>0.07939632546</v>
      </c>
      <c r="Q95" s="25">
        <v>0.482</v>
      </c>
      <c r="R95" s="21">
        <v>0.0756</v>
      </c>
      <c r="S95" s="21">
        <f t="shared" si="23"/>
        <v>0.2480314961</v>
      </c>
      <c r="T95" s="19" t="str">
        <f t="shared" si="33"/>
        <v>0.0793963254593176+248031.496062992i</v>
      </c>
      <c r="U95" s="19" t="str">
        <f t="shared" si="25"/>
        <v>1.29058536995032E-12-0.00000403174603174562i</v>
      </c>
      <c r="V95" s="21">
        <f t="shared" si="26"/>
        <v>-0.000004031746032</v>
      </c>
      <c r="W95" s="22">
        <f t="shared" si="34"/>
        <v>-10.6945385</v>
      </c>
      <c r="X95" s="21">
        <f t="shared" si="37"/>
        <v>6.922565617</v>
      </c>
    </row>
    <row r="96" ht="14.25" customHeight="1">
      <c r="A96" s="19" t="s">
        <v>582</v>
      </c>
      <c r="E96" s="19" t="s">
        <v>580</v>
      </c>
      <c r="F96" s="19" t="s">
        <v>583</v>
      </c>
      <c r="G96" s="21">
        <v>230.0</v>
      </c>
      <c r="H96" s="21">
        <v>200.0</v>
      </c>
      <c r="I96" s="21">
        <v>100.0</v>
      </c>
      <c r="J96" s="21">
        <f t="shared" si="20"/>
        <v>529</v>
      </c>
      <c r="K96" s="25">
        <v>1600.0</v>
      </c>
      <c r="L96" s="20" t="s">
        <v>516</v>
      </c>
      <c r="M96" s="21">
        <v>31.22</v>
      </c>
      <c r="N96" s="21">
        <f t="shared" si="21"/>
        <v>102.4278248</v>
      </c>
      <c r="O96" s="25">
        <v>8.44E-6</v>
      </c>
      <c r="P96" s="21">
        <f t="shared" si="22"/>
        <v>0.00002769028871</v>
      </c>
      <c r="R96" s="25">
        <v>7.56E-5</v>
      </c>
      <c r="S96" s="21">
        <f t="shared" si="23"/>
        <v>0.0002480314961</v>
      </c>
      <c r="T96" s="19" t="str">
        <f t="shared" si="33"/>
        <v>0.0000276902887139108+248.031496062992i</v>
      </c>
      <c r="U96" s="20" t="str">
        <f t="shared" si="25"/>
        <v>0.000000000450104980263706-0.00403174603174598i</v>
      </c>
      <c r="V96" s="20">
        <f t="shared" si="26"/>
        <v>-0.004031746032</v>
      </c>
      <c r="W96" s="22">
        <f t="shared" si="34"/>
        <v>-10694.5385</v>
      </c>
      <c r="X96" s="21">
        <f t="shared" ref="X96:X97" si="38">O96*M96</f>
        <v>0.0002634968</v>
      </c>
    </row>
    <row r="97" ht="14.25" customHeight="1">
      <c r="A97" s="19" t="s">
        <v>584</v>
      </c>
      <c r="E97" s="19" t="s">
        <v>580</v>
      </c>
      <c r="F97" s="19" t="s">
        <v>583</v>
      </c>
      <c r="G97" s="21">
        <v>230.0</v>
      </c>
      <c r="H97" s="21">
        <v>200.0</v>
      </c>
      <c r="I97" s="21">
        <v>100.0</v>
      </c>
      <c r="J97" s="21">
        <f t="shared" si="20"/>
        <v>529</v>
      </c>
      <c r="K97" s="25">
        <v>1600.0</v>
      </c>
      <c r="L97" s="20" t="s">
        <v>516</v>
      </c>
      <c r="M97" s="21">
        <v>31.22</v>
      </c>
      <c r="N97" s="21">
        <f t="shared" si="21"/>
        <v>102.4278248</v>
      </c>
      <c r="O97" s="25">
        <v>8.44E-6</v>
      </c>
      <c r="P97" s="21">
        <f t="shared" si="22"/>
        <v>0.00002769028871</v>
      </c>
      <c r="R97" s="25">
        <v>7.56E-5</v>
      </c>
      <c r="S97" s="21">
        <f t="shared" si="23"/>
        <v>0.0002480314961</v>
      </c>
      <c r="T97" s="19" t="str">
        <f t="shared" si="33"/>
        <v>0.0000276902887139108+248.031496062992i</v>
      </c>
      <c r="U97" s="20" t="str">
        <f t="shared" si="25"/>
        <v>0.000000000450104980263706-0.00403174603174598i</v>
      </c>
      <c r="V97" s="20">
        <f t="shared" si="26"/>
        <v>-0.004031746032</v>
      </c>
      <c r="W97" s="22">
        <f t="shared" si="34"/>
        <v>-10694.5385</v>
      </c>
      <c r="X97" s="21">
        <f t="shared" si="38"/>
        <v>0.0002634968</v>
      </c>
    </row>
    <row r="98" ht="14.25" customHeight="1">
      <c r="A98" s="18" t="s">
        <v>315</v>
      </c>
    </row>
    <row r="99" ht="14.25" customHeight="1">
      <c r="A99" s="19" t="s">
        <v>585</v>
      </c>
      <c r="B99" s="19" t="s">
        <v>586</v>
      </c>
      <c r="C99" s="20">
        <v>104.0</v>
      </c>
      <c r="D99" s="20" t="s">
        <v>487</v>
      </c>
      <c r="E99" s="19" t="s">
        <v>587</v>
      </c>
      <c r="F99" s="19" t="s">
        <v>588</v>
      </c>
      <c r="G99" s="21">
        <v>230.0</v>
      </c>
      <c r="H99" s="21">
        <v>1276.0</v>
      </c>
      <c r="I99" s="21">
        <v>100.0</v>
      </c>
      <c r="J99" s="21">
        <f t="shared" ref="J99:J102" si="39">((G99*1000)^2)/(I99*1000000)</f>
        <v>529</v>
      </c>
      <c r="K99" s="21">
        <v>795.0</v>
      </c>
      <c r="L99" s="20" t="s">
        <v>446</v>
      </c>
      <c r="M99" s="21">
        <v>29.0</v>
      </c>
      <c r="N99" s="21">
        <f t="shared" ref="N99:N102" si="40">M99*3.28084</f>
        <v>95.14436</v>
      </c>
      <c r="O99" s="21">
        <v>0.0242</v>
      </c>
      <c r="P99" s="21">
        <f t="shared" ref="P99:P102" si="41">O99/0.3048</f>
        <v>0.07939632546</v>
      </c>
      <c r="Q99" s="21">
        <v>0.482</v>
      </c>
      <c r="R99" s="21">
        <v>0.0756</v>
      </c>
      <c r="S99" s="21">
        <f t="shared" ref="S99:S102" si="42">R99/0.3048</f>
        <v>0.2480314961</v>
      </c>
      <c r="T99" s="19" t="str">
        <f t="shared" ref="T99:T102" si="43">COMPLEX(P99,S99*1000000,"i")</f>
        <v>0.0793963254593176+248031.496062992i</v>
      </c>
      <c r="U99" s="19" t="str">
        <f t="shared" ref="U99:U102" si="44">IMDIV(1,T99)</f>
        <v>1.29058536995032E-12-0.00000403174603174562i</v>
      </c>
      <c r="V99" s="21">
        <f t="shared" ref="V99:V102" si="45">IMAGINARY(U99)</f>
        <v>-0.000004031746032</v>
      </c>
      <c r="W99" s="22">
        <f t="shared" ref="W99:W102" si="46">(V99/(2*PI()*(60)))*1000000000</f>
        <v>-10.6945385</v>
      </c>
      <c r="X99" s="21">
        <f t="shared" ref="X99:X102" si="47">P99*M99</f>
        <v>2.302493438</v>
      </c>
    </row>
    <row r="100" ht="14.25" customHeight="1">
      <c r="A100" s="19" t="s">
        <v>589</v>
      </c>
      <c r="E100" s="19" t="s">
        <v>587</v>
      </c>
      <c r="F100" s="19" t="s">
        <v>588</v>
      </c>
      <c r="G100" s="21">
        <v>230.0</v>
      </c>
      <c r="H100" s="21">
        <v>1276.0</v>
      </c>
      <c r="I100" s="21">
        <v>100.0</v>
      </c>
      <c r="J100" s="21">
        <f t="shared" si="39"/>
        <v>529</v>
      </c>
      <c r="K100" s="21">
        <v>795.0</v>
      </c>
      <c r="L100" s="20" t="s">
        <v>446</v>
      </c>
      <c r="M100" s="21">
        <v>29.0</v>
      </c>
      <c r="N100" s="21">
        <f t="shared" si="40"/>
        <v>95.14436</v>
      </c>
      <c r="O100" s="21">
        <v>0.0242</v>
      </c>
      <c r="P100" s="21">
        <f t="shared" si="41"/>
        <v>0.07939632546</v>
      </c>
      <c r="Q100" s="21">
        <v>0.482</v>
      </c>
      <c r="R100" s="21">
        <v>0.0756</v>
      </c>
      <c r="S100" s="21">
        <f t="shared" si="42"/>
        <v>0.2480314961</v>
      </c>
      <c r="T100" s="19" t="str">
        <f t="shared" si="43"/>
        <v>0.0793963254593176+248031.496062992i</v>
      </c>
      <c r="U100" s="19" t="str">
        <f t="shared" si="44"/>
        <v>1.29058536995032E-12-0.00000403174603174562i</v>
      </c>
      <c r="V100" s="21">
        <f t="shared" si="45"/>
        <v>-0.000004031746032</v>
      </c>
      <c r="W100" s="22">
        <f t="shared" si="46"/>
        <v>-10.6945385</v>
      </c>
      <c r="X100" s="21">
        <f t="shared" si="47"/>
        <v>2.302493438</v>
      </c>
    </row>
    <row r="101" ht="14.25" customHeight="1">
      <c r="A101" s="19" t="s">
        <v>590</v>
      </c>
      <c r="B101" s="20" t="s">
        <v>591</v>
      </c>
      <c r="E101" s="19" t="s">
        <v>592</v>
      </c>
      <c r="F101" s="19" t="s">
        <v>587</v>
      </c>
      <c r="G101" s="21">
        <v>138.0</v>
      </c>
      <c r="H101" s="21">
        <v>196.0</v>
      </c>
      <c r="I101" s="21">
        <v>100.0</v>
      </c>
      <c r="J101" s="21">
        <f t="shared" si="39"/>
        <v>190.44</v>
      </c>
      <c r="K101" s="21">
        <v>795.0</v>
      </c>
      <c r="L101" s="20" t="s">
        <v>446</v>
      </c>
      <c r="M101" s="21">
        <v>92.57</v>
      </c>
      <c r="N101" s="21">
        <f t="shared" si="40"/>
        <v>303.7073588</v>
      </c>
      <c r="O101" s="21">
        <v>0.0242</v>
      </c>
      <c r="P101" s="21">
        <f t="shared" si="41"/>
        <v>0.07939632546</v>
      </c>
      <c r="Q101" s="21">
        <v>0.482</v>
      </c>
      <c r="R101" s="21">
        <v>0.0756</v>
      </c>
      <c r="S101" s="21">
        <f t="shared" si="42"/>
        <v>0.2480314961</v>
      </c>
      <c r="T101" s="19" t="str">
        <f t="shared" si="43"/>
        <v>0.0793963254593176+248031.496062992i</v>
      </c>
      <c r="U101" s="19" t="str">
        <f t="shared" si="44"/>
        <v>1.29058536995032E-12-0.00000403174603174562i</v>
      </c>
      <c r="V101" s="21">
        <f t="shared" si="45"/>
        <v>-0.000004031746032</v>
      </c>
      <c r="W101" s="22">
        <f t="shared" si="46"/>
        <v>-10.6945385</v>
      </c>
      <c r="X101" s="21">
        <f t="shared" si="47"/>
        <v>7.349717848</v>
      </c>
    </row>
    <row r="102" ht="14.25" customHeight="1">
      <c r="A102" s="19" t="s">
        <v>593</v>
      </c>
      <c r="B102" s="20" t="s">
        <v>594</v>
      </c>
      <c r="E102" s="19" t="s">
        <v>592</v>
      </c>
      <c r="F102" s="19" t="s">
        <v>595</v>
      </c>
      <c r="G102" s="21">
        <v>69.0</v>
      </c>
      <c r="H102" s="21">
        <v>63.0</v>
      </c>
      <c r="I102" s="21">
        <v>100.0</v>
      </c>
      <c r="J102" s="21">
        <f t="shared" si="39"/>
        <v>47.61</v>
      </c>
      <c r="K102" s="21">
        <v>795.0</v>
      </c>
      <c r="L102" s="20" t="s">
        <v>446</v>
      </c>
      <c r="M102" s="21">
        <v>4.0</v>
      </c>
      <c r="N102" s="21">
        <f t="shared" si="40"/>
        <v>13.12336</v>
      </c>
      <c r="O102" s="21">
        <v>0.0242</v>
      </c>
      <c r="P102" s="21">
        <f t="shared" si="41"/>
        <v>0.07939632546</v>
      </c>
      <c r="Q102" s="21">
        <v>0.482</v>
      </c>
      <c r="R102" s="21">
        <v>0.0756</v>
      </c>
      <c r="S102" s="21">
        <f t="shared" si="42"/>
        <v>0.2480314961</v>
      </c>
      <c r="T102" s="19" t="str">
        <f t="shared" si="43"/>
        <v>0.0793963254593176+248031.496062992i</v>
      </c>
      <c r="U102" s="19" t="str">
        <f t="shared" si="44"/>
        <v>1.29058536995032E-12-0.00000403174603174562i</v>
      </c>
      <c r="V102" s="21">
        <f t="shared" si="45"/>
        <v>-0.000004031746032</v>
      </c>
      <c r="W102" s="22">
        <f t="shared" si="46"/>
        <v>-10.6945385</v>
      </c>
      <c r="X102" s="21">
        <f t="shared" si="47"/>
        <v>0.3175853018</v>
      </c>
    </row>
    <row r="103" ht="14.25" customHeight="1">
      <c r="A103" s="18" t="s">
        <v>360</v>
      </c>
    </row>
    <row r="104" ht="14.25" customHeight="1">
      <c r="A104" s="19" t="s">
        <v>596</v>
      </c>
      <c r="B104" s="24" t="s">
        <v>449</v>
      </c>
      <c r="E104" s="19" t="s">
        <v>597</v>
      </c>
      <c r="F104" s="19" t="s">
        <v>598</v>
      </c>
      <c r="G104" s="21">
        <v>230.0</v>
      </c>
      <c r="H104" s="21">
        <v>488.0</v>
      </c>
      <c r="I104" s="21">
        <v>100.0</v>
      </c>
      <c r="J104" s="21">
        <f t="shared" ref="J104:J124" si="48">((G104*1000)^2)/(I104*1000000)</f>
        <v>529</v>
      </c>
      <c r="K104" s="21">
        <v>795.0</v>
      </c>
      <c r="L104" s="20" t="s">
        <v>446</v>
      </c>
      <c r="M104" s="21">
        <v>42.77</v>
      </c>
      <c r="N104" s="21">
        <f t="shared" ref="N104:N113" si="49">M104*3.28084</f>
        <v>140.3215268</v>
      </c>
      <c r="O104" s="21">
        <v>0.0242</v>
      </c>
      <c r="P104" s="21">
        <f t="shared" ref="P104:P124" si="50">O104/0.3048</f>
        <v>0.07939632546</v>
      </c>
      <c r="Q104" s="25">
        <v>0.482</v>
      </c>
      <c r="R104" s="21">
        <v>0.0756</v>
      </c>
      <c r="S104" s="21">
        <f t="shared" ref="S104:S123" si="51">R104/0.3048</f>
        <v>0.2480314961</v>
      </c>
      <c r="T104" s="19" t="str">
        <f t="shared" ref="T104:T124" si="52">COMPLEX(P104,S104*1000000,"i")</f>
        <v>0.0793963254593176+248031.496062992i</v>
      </c>
      <c r="U104" s="19" t="str">
        <f t="shared" ref="U104:U124" si="53">IMDIV(1,T104)</f>
        <v>1.29058536995032E-12-0.00000403174603174562i</v>
      </c>
      <c r="V104" s="21">
        <f t="shared" ref="V104:V124" si="54">IMAGINARY(U104)</f>
        <v>-0.000004031746032</v>
      </c>
      <c r="W104" s="22">
        <f t="shared" ref="W104:W123" si="55">(V104/(2*PI()*(60)))*1000000000</f>
        <v>-10.6945385</v>
      </c>
      <c r="X104" s="21">
        <f t="shared" ref="X104:X116" si="56">O104*M104</f>
        <v>1.035034</v>
      </c>
    </row>
    <row r="105" ht="14.25" customHeight="1">
      <c r="A105" s="19" t="s">
        <v>599</v>
      </c>
      <c r="E105" s="19" t="s">
        <v>597</v>
      </c>
      <c r="F105" s="19" t="s">
        <v>598</v>
      </c>
      <c r="G105" s="21">
        <v>230.0</v>
      </c>
      <c r="H105" s="21">
        <v>488.0</v>
      </c>
      <c r="I105" s="21">
        <v>100.0</v>
      </c>
      <c r="J105" s="21">
        <f t="shared" si="48"/>
        <v>529</v>
      </c>
      <c r="K105" s="21">
        <v>795.0</v>
      </c>
      <c r="L105" s="20" t="s">
        <v>446</v>
      </c>
      <c r="M105" s="21">
        <v>42.77</v>
      </c>
      <c r="N105" s="21">
        <f t="shared" si="49"/>
        <v>140.3215268</v>
      </c>
      <c r="O105" s="21">
        <v>0.0242</v>
      </c>
      <c r="P105" s="21">
        <f t="shared" si="50"/>
        <v>0.07939632546</v>
      </c>
      <c r="Q105" s="25">
        <v>0.482</v>
      </c>
      <c r="R105" s="21">
        <v>0.0756</v>
      </c>
      <c r="S105" s="21">
        <f t="shared" si="51"/>
        <v>0.2480314961</v>
      </c>
      <c r="T105" s="19" t="str">
        <f t="shared" si="52"/>
        <v>0.0793963254593176+248031.496062992i</v>
      </c>
      <c r="U105" s="19" t="str">
        <f t="shared" si="53"/>
        <v>1.29058536995032E-12-0.00000403174603174562i</v>
      </c>
      <c r="V105" s="21">
        <f t="shared" si="54"/>
        <v>-0.000004031746032</v>
      </c>
      <c r="W105" s="22">
        <f t="shared" si="55"/>
        <v>-10.6945385</v>
      </c>
      <c r="X105" s="21">
        <f t="shared" si="56"/>
        <v>1.035034</v>
      </c>
    </row>
    <row r="106" ht="14.25" customHeight="1">
      <c r="A106" s="19" t="s">
        <v>600</v>
      </c>
      <c r="E106" s="19" t="s">
        <v>597</v>
      </c>
      <c r="F106" s="19" t="s">
        <v>601</v>
      </c>
      <c r="G106" s="21">
        <v>230.0</v>
      </c>
      <c r="H106" s="21">
        <v>976.0</v>
      </c>
      <c r="I106" s="21">
        <v>100.0</v>
      </c>
      <c r="J106" s="21">
        <f t="shared" si="48"/>
        <v>529</v>
      </c>
      <c r="K106" s="21">
        <v>795.0</v>
      </c>
      <c r="L106" s="20" t="s">
        <v>446</v>
      </c>
      <c r="M106" s="21">
        <v>7.76</v>
      </c>
      <c r="N106" s="21">
        <f t="shared" si="49"/>
        <v>25.4593184</v>
      </c>
      <c r="O106" s="21">
        <v>0.0242</v>
      </c>
      <c r="P106" s="21">
        <f t="shared" si="50"/>
        <v>0.07939632546</v>
      </c>
      <c r="Q106" s="25">
        <v>0.482</v>
      </c>
      <c r="R106" s="21">
        <v>0.0756</v>
      </c>
      <c r="S106" s="21">
        <f t="shared" si="51"/>
        <v>0.2480314961</v>
      </c>
      <c r="T106" s="19" t="str">
        <f t="shared" si="52"/>
        <v>0.0793963254593176+248031.496062992i</v>
      </c>
      <c r="U106" s="19" t="str">
        <f t="shared" si="53"/>
        <v>1.29058536995032E-12-0.00000403174603174562i</v>
      </c>
      <c r="V106" s="21">
        <f t="shared" si="54"/>
        <v>-0.000004031746032</v>
      </c>
      <c r="W106" s="22">
        <f t="shared" si="55"/>
        <v>-10.6945385</v>
      </c>
      <c r="X106" s="21">
        <f t="shared" si="56"/>
        <v>0.187792</v>
      </c>
    </row>
    <row r="107" ht="14.25" customHeight="1">
      <c r="A107" s="19" t="s">
        <v>602</v>
      </c>
      <c r="E107" s="19" t="s">
        <v>597</v>
      </c>
      <c r="F107" s="19" t="s">
        <v>601</v>
      </c>
      <c r="G107" s="21">
        <v>230.0</v>
      </c>
      <c r="H107" s="21">
        <v>976.0</v>
      </c>
      <c r="I107" s="21">
        <v>100.0</v>
      </c>
      <c r="J107" s="21">
        <f t="shared" si="48"/>
        <v>529</v>
      </c>
      <c r="K107" s="21">
        <v>795.0</v>
      </c>
      <c r="L107" s="20" t="s">
        <v>446</v>
      </c>
      <c r="M107" s="21">
        <v>7.76</v>
      </c>
      <c r="N107" s="21">
        <f t="shared" si="49"/>
        <v>25.4593184</v>
      </c>
      <c r="O107" s="21">
        <v>0.0242</v>
      </c>
      <c r="P107" s="21">
        <f t="shared" si="50"/>
        <v>0.07939632546</v>
      </c>
      <c r="Q107" s="25">
        <v>0.482</v>
      </c>
      <c r="R107" s="21">
        <v>0.0756</v>
      </c>
      <c r="S107" s="21">
        <f t="shared" si="51"/>
        <v>0.2480314961</v>
      </c>
      <c r="T107" s="19" t="str">
        <f t="shared" si="52"/>
        <v>0.0793963254593176+248031.496062992i</v>
      </c>
      <c r="U107" s="19" t="str">
        <f t="shared" si="53"/>
        <v>1.29058536995032E-12-0.00000403174603174562i</v>
      </c>
      <c r="V107" s="21">
        <f t="shared" si="54"/>
        <v>-0.000004031746032</v>
      </c>
      <c r="W107" s="22">
        <f t="shared" si="55"/>
        <v>-10.6945385</v>
      </c>
      <c r="X107" s="21">
        <f t="shared" si="56"/>
        <v>0.187792</v>
      </c>
    </row>
    <row r="108" ht="14.25" customHeight="1">
      <c r="A108" s="19" t="s">
        <v>603</v>
      </c>
      <c r="E108" s="19" t="s">
        <v>604</v>
      </c>
      <c r="F108" s="19" t="s">
        <v>605</v>
      </c>
      <c r="G108" s="21">
        <v>69.0</v>
      </c>
      <c r="H108" s="21">
        <v>63.0</v>
      </c>
      <c r="I108" s="21">
        <v>100.0</v>
      </c>
      <c r="J108" s="21">
        <f t="shared" si="48"/>
        <v>47.61</v>
      </c>
      <c r="K108" s="21">
        <v>795.0</v>
      </c>
      <c r="L108" s="20" t="s">
        <v>446</v>
      </c>
      <c r="M108" s="21">
        <v>1.0</v>
      </c>
      <c r="N108" s="21">
        <f t="shared" si="49"/>
        <v>3.28084</v>
      </c>
      <c r="O108" s="21">
        <v>0.0242</v>
      </c>
      <c r="P108" s="21">
        <f t="shared" si="50"/>
        <v>0.07939632546</v>
      </c>
      <c r="Q108" s="25">
        <v>0.482</v>
      </c>
      <c r="R108" s="21">
        <v>0.0756</v>
      </c>
      <c r="S108" s="21">
        <f t="shared" si="51"/>
        <v>0.2480314961</v>
      </c>
      <c r="T108" s="19" t="str">
        <f t="shared" si="52"/>
        <v>0.0793963254593176+248031.496062992i</v>
      </c>
      <c r="U108" s="19" t="str">
        <f t="shared" si="53"/>
        <v>1.29058536995032E-12-0.00000403174603174562i</v>
      </c>
      <c r="V108" s="21">
        <f t="shared" si="54"/>
        <v>-0.000004031746032</v>
      </c>
      <c r="W108" s="22">
        <f t="shared" si="55"/>
        <v>-10.6945385</v>
      </c>
      <c r="X108" s="21">
        <f t="shared" si="56"/>
        <v>0.0242</v>
      </c>
    </row>
    <row r="109" ht="14.25" customHeight="1">
      <c r="A109" s="19" t="s">
        <v>606</v>
      </c>
      <c r="E109" s="19" t="s">
        <v>605</v>
      </c>
      <c r="F109" s="19" t="s">
        <v>607</v>
      </c>
      <c r="G109" s="21">
        <v>69.0</v>
      </c>
      <c r="H109" s="21">
        <v>63.0</v>
      </c>
      <c r="I109" s="21">
        <v>100.0</v>
      </c>
      <c r="J109" s="21">
        <f t="shared" si="48"/>
        <v>47.61</v>
      </c>
      <c r="K109" s="21">
        <v>795.0</v>
      </c>
      <c r="L109" s="20" t="s">
        <v>446</v>
      </c>
      <c r="M109" s="21">
        <v>22.85</v>
      </c>
      <c r="N109" s="21">
        <f t="shared" si="49"/>
        <v>74.967194</v>
      </c>
      <c r="O109" s="21">
        <v>0.0242</v>
      </c>
      <c r="P109" s="21">
        <f t="shared" si="50"/>
        <v>0.07939632546</v>
      </c>
      <c r="Q109" s="25">
        <v>0.482</v>
      </c>
      <c r="R109" s="21">
        <v>0.0756</v>
      </c>
      <c r="S109" s="21">
        <f t="shared" si="51"/>
        <v>0.2480314961</v>
      </c>
      <c r="T109" s="19" t="str">
        <f t="shared" si="52"/>
        <v>0.0793963254593176+248031.496062992i</v>
      </c>
      <c r="U109" s="19" t="str">
        <f t="shared" si="53"/>
        <v>1.29058536995032E-12-0.00000403174603174562i</v>
      </c>
      <c r="V109" s="21">
        <f t="shared" si="54"/>
        <v>-0.000004031746032</v>
      </c>
      <c r="W109" s="22">
        <f t="shared" si="55"/>
        <v>-10.6945385</v>
      </c>
      <c r="X109" s="21">
        <f t="shared" si="56"/>
        <v>0.55297</v>
      </c>
    </row>
    <row r="110" ht="14.25" customHeight="1">
      <c r="A110" s="19" t="s">
        <v>608</v>
      </c>
      <c r="E110" s="19" t="s">
        <v>609</v>
      </c>
      <c r="F110" s="19" t="s">
        <v>605</v>
      </c>
      <c r="G110" s="21">
        <v>69.0</v>
      </c>
      <c r="H110" s="21">
        <v>63.0</v>
      </c>
      <c r="I110" s="21">
        <v>100.0</v>
      </c>
      <c r="J110" s="21">
        <f t="shared" si="48"/>
        <v>47.61</v>
      </c>
      <c r="K110" s="21">
        <v>795.0</v>
      </c>
      <c r="L110" s="20" t="s">
        <v>446</v>
      </c>
      <c r="M110" s="21">
        <v>0.5</v>
      </c>
      <c r="N110" s="21">
        <f t="shared" si="49"/>
        <v>1.64042</v>
      </c>
      <c r="O110" s="21">
        <v>0.0242</v>
      </c>
      <c r="P110" s="21">
        <f t="shared" si="50"/>
        <v>0.07939632546</v>
      </c>
      <c r="Q110" s="25">
        <v>0.482</v>
      </c>
      <c r="R110" s="21">
        <v>0.0756</v>
      </c>
      <c r="S110" s="21">
        <f t="shared" si="51"/>
        <v>0.2480314961</v>
      </c>
      <c r="T110" s="19" t="str">
        <f t="shared" si="52"/>
        <v>0.0793963254593176+248031.496062992i</v>
      </c>
      <c r="U110" s="19" t="str">
        <f t="shared" si="53"/>
        <v>1.29058536995032E-12-0.00000403174603174562i</v>
      </c>
      <c r="V110" s="21">
        <f t="shared" si="54"/>
        <v>-0.000004031746032</v>
      </c>
      <c r="W110" s="22">
        <f t="shared" si="55"/>
        <v>-10.6945385</v>
      </c>
      <c r="X110" s="21">
        <f t="shared" si="56"/>
        <v>0.0121</v>
      </c>
    </row>
    <row r="111" ht="14.25" customHeight="1">
      <c r="A111" s="19" t="s">
        <v>610</v>
      </c>
      <c r="B111" s="20" t="s">
        <v>611</v>
      </c>
      <c r="E111" s="19" t="s">
        <v>609</v>
      </c>
      <c r="F111" s="19" t="s">
        <v>612</v>
      </c>
      <c r="G111" s="21">
        <v>138.0</v>
      </c>
      <c r="H111" s="21">
        <v>196.0</v>
      </c>
      <c r="I111" s="21">
        <v>100.0</v>
      </c>
      <c r="J111" s="21">
        <f t="shared" si="48"/>
        <v>190.44</v>
      </c>
      <c r="K111" s="21">
        <v>795.0</v>
      </c>
      <c r="L111" s="20" t="s">
        <v>446</v>
      </c>
      <c r="M111" s="21">
        <v>59.46</v>
      </c>
      <c r="N111" s="21">
        <f t="shared" si="49"/>
        <v>195.0787464</v>
      </c>
      <c r="O111" s="21">
        <v>0.0242</v>
      </c>
      <c r="P111" s="21">
        <f t="shared" si="50"/>
        <v>0.07939632546</v>
      </c>
      <c r="Q111" s="25">
        <v>0.482</v>
      </c>
      <c r="R111" s="21">
        <v>0.0756</v>
      </c>
      <c r="S111" s="21">
        <f t="shared" si="51"/>
        <v>0.2480314961</v>
      </c>
      <c r="T111" s="19" t="str">
        <f t="shared" si="52"/>
        <v>0.0793963254593176+248031.496062992i</v>
      </c>
      <c r="U111" s="19" t="str">
        <f t="shared" si="53"/>
        <v>1.29058536995032E-12-0.00000403174603174562i</v>
      </c>
      <c r="V111" s="21">
        <f t="shared" si="54"/>
        <v>-0.000004031746032</v>
      </c>
      <c r="W111" s="22">
        <f t="shared" si="55"/>
        <v>-10.6945385</v>
      </c>
      <c r="X111" s="21">
        <f t="shared" si="56"/>
        <v>1.438932</v>
      </c>
    </row>
    <row r="112" ht="14.25" customHeight="1">
      <c r="A112" s="19" t="s">
        <v>613</v>
      </c>
      <c r="E112" s="19" t="s">
        <v>609</v>
      </c>
      <c r="F112" s="19" t="s">
        <v>612</v>
      </c>
      <c r="G112" s="21">
        <v>138.0</v>
      </c>
      <c r="H112" s="21">
        <v>196.0</v>
      </c>
      <c r="I112" s="21">
        <v>100.0</v>
      </c>
      <c r="J112" s="21">
        <f t="shared" si="48"/>
        <v>190.44</v>
      </c>
      <c r="K112" s="21">
        <v>795.0</v>
      </c>
      <c r="L112" s="20" t="s">
        <v>446</v>
      </c>
      <c r="M112" s="21">
        <v>59.46</v>
      </c>
      <c r="N112" s="21">
        <f t="shared" si="49"/>
        <v>195.0787464</v>
      </c>
      <c r="O112" s="21">
        <v>0.0242</v>
      </c>
      <c r="P112" s="21">
        <f t="shared" si="50"/>
        <v>0.07939632546</v>
      </c>
      <c r="Q112" s="25">
        <v>0.482</v>
      </c>
      <c r="R112" s="21">
        <v>0.0756</v>
      </c>
      <c r="S112" s="21">
        <f t="shared" si="51"/>
        <v>0.2480314961</v>
      </c>
      <c r="T112" s="19" t="str">
        <f t="shared" si="52"/>
        <v>0.0793963254593176+248031.496062992i</v>
      </c>
      <c r="U112" s="19" t="str">
        <f t="shared" si="53"/>
        <v>1.29058536995032E-12-0.00000403174603174562i</v>
      </c>
      <c r="V112" s="21">
        <f t="shared" si="54"/>
        <v>-0.000004031746032</v>
      </c>
      <c r="W112" s="22">
        <f t="shared" si="55"/>
        <v>-10.6945385</v>
      </c>
      <c r="X112" s="21">
        <f t="shared" si="56"/>
        <v>1.438932</v>
      </c>
    </row>
    <row r="113" ht="14.25" customHeight="1">
      <c r="A113" s="19" t="s">
        <v>614</v>
      </c>
      <c r="B113" s="20" t="s">
        <v>615</v>
      </c>
      <c r="E113" s="19" t="s">
        <v>616</v>
      </c>
      <c r="F113" s="19" t="s">
        <v>612</v>
      </c>
      <c r="G113" s="21">
        <v>138.0</v>
      </c>
      <c r="H113" s="21">
        <v>196.0</v>
      </c>
      <c r="I113" s="21">
        <v>100.0</v>
      </c>
      <c r="J113" s="21">
        <f t="shared" si="48"/>
        <v>190.44</v>
      </c>
      <c r="K113" s="21">
        <v>795.0</v>
      </c>
      <c r="L113" s="20" t="s">
        <v>446</v>
      </c>
      <c r="M113" s="21">
        <v>50.35</v>
      </c>
      <c r="N113" s="21">
        <f t="shared" si="49"/>
        <v>165.190294</v>
      </c>
      <c r="O113" s="21">
        <v>0.0242</v>
      </c>
      <c r="P113" s="21">
        <f t="shared" si="50"/>
        <v>0.07939632546</v>
      </c>
      <c r="Q113" s="25">
        <v>0.482</v>
      </c>
      <c r="R113" s="21">
        <v>0.0756</v>
      </c>
      <c r="S113" s="21">
        <f t="shared" si="51"/>
        <v>0.2480314961</v>
      </c>
      <c r="T113" s="19" t="str">
        <f t="shared" si="52"/>
        <v>0.0793963254593176+248031.496062992i</v>
      </c>
      <c r="U113" s="19" t="str">
        <f t="shared" si="53"/>
        <v>1.29058536995032E-12-0.00000403174603174562i</v>
      </c>
      <c r="V113" s="21">
        <f t="shared" si="54"/>
        <v>-0.000004031746032</v>
      </c>
      <c r="W113" s="22">
        <f t="shared" si="55"/>
        <v>-10.6945385</v>
      </c>
      <c r="X113" s="21">
        <f t="shared" si="56"/>
        <v>1.21847</v>
      </c>
    </row>
    <row r="114" ht="14.25" customHeight="1">
      <c r="A114" s="19" t="s">
        <v>617</v>
      </c>
      <c r="B114" s="24" t="s">
        <v>449</v>
      </c>
      <c r="E114" s="19" t="s">
        <v>616</v>
      </c>
      <c r="F114" s="19" t="s">
        <v>618</v>
      </c>
      <c r="G114" s="21">
        <v>138.0</v>
      </c>
      <c r="H114" s="21">
        <v>196.0</v>
      </c>
      <c r="I114" s="21">
        <v>100.0</v>
      </c>
      <c r="J114" s="21">
        <f t="shared" si="48"/>
        <v>190.44</v>
      </c>
      <c r="K114" s="21">
        <v>795.0</v>
      </c>
      <c r="L114" s="20" t="s">
        <v>446</v>
      </c>
      <c r="M114" s="21">
        <v>8.82</v>
      </c>
      <c r="N114" s="25"/>
      <c r="O114" s="21">
        <v>0.0242</v>
      </c>
      <c r="P114" s="21">
        <f t="shared" si="50"/>
        <v>0.07939632546</v>
      </c>
      <c r="Q114" s="25">
        <v>0.482</v>
      </c>
      <c r="R114" s="21">
        <v>0.0756</v>
      </c>
      <c r="S114" s="21">
        <f t="shared" si="51"/>
        <v>0.2480314961</v>
      </c>
      <c r="T114" s="19" t="str">
        <f t="shared" si="52"/>
        <v>0.0793963254593176+248031.496062992i</v>
      </c>
      <c r="U114" s="19" t="str">
        <f t="shared" si="53"/>
        <v>1.29058536995032E-12-0.00000403174603174562i</v>
      </c>
      <c r="V114" s="21">
        <f t="shared" si="54"/>
        <v>-0.000004031746032</v>
      </c>
      <c r="W114" s="22">
        <f t="shared" si="55"/>
        <v>-10.6945385</v>
      </c>
      <c r="X114" s="21">
        <f t="shared" si="56"/>
        <v>0.213444</v>
      </c>
    </row>
    <row r="115" ht="14.25" customHeight="1">
      <c r="A115" s="19" t="s">
        <v>619</v>
      </c>
      <c r="E115" s="19" t="s">
        <v>612</v>
      </c>
      <c r="F115" s="19" t="s">
        <v>618</v>
      </c>
      <c r="G115" s="21">
        <v>138.0</v>
      </c>
      <c r="H115" s="21">
        <v>196.0</v>
      </c>
      <c r="I115" s="21">
        <v>100.0</v>
      </c>
      <c r="J115" s="21">
        <f t="shared" si="48"/>
        <v>190.44</v>
      </c>
      <c r="K115" s="21">
        <v>795.0</v>
      </c>
      <c r="L115" s="20" t="s">
        <v>446</v>
      </c>
      <c r="M115" s="21">
        <v>7.08</v>
      </c>
      <c r="N115" s="21">
        <f t="shared" ref="N115:N124" si="57">M115*3.28084</f>
        <v>23.2283472</v>
      </c>
      <c r="O115" s="21">
        <v>0.0242</v>
      </c>
      <c r="P115" s="21">
        <f t="shared" si="50"/>
        <v>0.07939632546</v>
      </c>
      <c r="Q115" s="25">
        <v>0.482</v>
      </c>
      <c r="R115" s="21">
        <v>0.0756</v>
      </c>
      <c r="S115" s="21">
        <f t="shared" si="51"/>
        <v>0.2480314961</v>
      </c>
      <c r="T115" s="19" t="str">
        <f t="shared" si="52"/>
        <v>0.0793963254593176+248031.496062992i</v>
      </c>
      <c r="U115" s="19" t="str">
        <f t="shared" si="53"/>
        <v>1.29058536995032E-12-0.00000403174603174562i</v>
      </c>
      <c r="V115" s="21">
        <f t="shared" si="54"/>
        <v>-0.000004031746032</v>
      </c>
      <c r="W115" s="22">
        <f t="shared" si="55"/>
        <v>-10.6945385</v>
      </c>
      <c r="X115" s="21">
        <f t="shared" si="56"/>
        <v>0.171336</v>
      </c>
    </row>
    <row r="116" ht="14.25" customHeight="1">
      <c r="A116" s="19" t="s">
        <v>620</v>
      </c>
      <c r="E116" s="19" t="s">
        <v>618</v>
      </c>
      <c r="F116" s="19" t="s">
        <v>621</v>
      </c>
      <c r="G116" s="21">
        <v>138.0</v>
      </c>
      <c r="H116" s="21">
        <v>196.0</v>
      </c>
      <c r="I116" s="21">
        <v>100.0</v>
      </c>
      <c r="J116" s="21">
        <f t="shared" si="48"/>
        <v>190.44</v>
      </c>
      <c r="K116" s="21">
        <v>795.0</v>
      </c>
      <c r="L116" s="20" t="s">
        <v>446</v>
      </c>
      <c r="M116" s="21">
        <v>0.5</v>
      </c>
      <c r="N116" s="21">
        <f t="shared" si="57"/>
        <v>1.64042</v>
      </c>
      <c r="O116" s="21">
        <v>0.0242</v>
      </c>
      <c r="P116" s="21">
        <f t="shared" si="50"/>
        <v>0.07939632546</v>
      </c>
      <c r="Q116" s="25">
        <v>0.482</v>
      </c>
      <c r="R116" s="21">
        <v>0.0756</v>
      </c>
      <c r="S116" s="21">
        <f t="shared" si="51"/>
        <v>0.2480314961</v>
      </c>
      <c r="T116" s="19" t="str">
        <f t="shared" si="52"/>
        <v>0.0793963254593176+248031.496062992i</v>
      </c>
      <c r="U116" s="19" t="str">
        <f t="shared" si="53"/>
        <v>1.29058536995032E-12-0.00000403174603174562i</v>
      </c>
      <c r="V116" s="21">
        <f t="shared" si="54"/>
        <v>-0.000004031746032</v>
      </c>
      <c r="W116" s="22">
        <f t="shared" si="55"/>
        <v>-10.6945385</v>
      </c>
      <c r="X116" s="21">
        <f t="shared" si="56"/>
        <v>0.0121</v>
      </c>
    </row>
    <row r="117" ht="14.25" customHeight="1">
      <c r="A117" s="19" t="s">
        <v>622</v>
      </c>
      <c r="B117" s="19" t="s">
        <v>623</v>
      </c>
      <c r="C117" s="20">
        <v>84.0</v>
      </c>
      <c r="D117" s="20" t="s">
        <v>444</v>
      </c>
      <c r="E117" s="19" t="s">
        <v>601</v>
      </c>
      <c r="F117" s="19" t="s">
        <v>616</v>
      </c>
      <c r="G117" s="21">
        <v>138.0</v>
      </c>
      <c r="H117" s="21">
        <v>196.0</v>
      </c>
      <c r="I117" s="21">
        <v>100.0</v>
      </c>
      <c r="J117" s="21">
        <f t="shared" si="48"/>
        <v>190.44</v>
      </c>
      <c r="K117" s="21">
        <v>795.0</v>
      </c>
      <c r="L117" s="20" t="s">
        <v>446</v>
      </c>
      <c r="M117" s="21">
        <v>78.54</v>
      </c>
      <c r="N117" s="21">
        <f t="shared" si="57"/>
        <v>257.6771736</v>
      </c>
      <c r="O117" s="21">
        <v>0.0242</v>
      </c>
      <c r="P117" s="21">
        <f t="shared" si="50"/>
        <v>0.07939632546</v>
      </c>
      <c r="Q117" s="25">
        <v>0.482</v>
      </c>
      <c r="R117" s="21">
        <v>0.0756</v>
      </c>
      <c r="S117" s="21">
        <f t="shared" si="51"/>
        <v>0.2480314961</v>
      </c>
      <c r="T117" s="19" t="str">
        <f t="shared" si="52"/>
        <v>0.0793963254593176+248031.496062992i</v>
      </c>
      <c r="U117" s="19" t="str">
        <f t="shared" si="53"/>
        <v>1.29058536995032E-12-0.00000403174603174562i</v>
      </c>
      <c r="V117" s="21">
        <f t="shared" si="54"/>
        <v>-0.000004031746032</v>
      </c>
      <c r="W117" s="22">
        <f t="shared" si="55"/>
        <v>-10.6945385</v>
      </c>
      <c r="X117" s="21">
        <f>O104*M117</f>
        <v>1.900668</v>
      </c>
    </row>
    <row r="118" ht="14.25" customHeight="1">
      <c r="A118" s="19" t="s">
        <v>624</v>
      </c>
      <c r="E118" s="19" t="s">
        <v>601</v>
      </c>
      <c r="F118" s="19" t="s">
        <v>616</v>
      </c>
      <c r="G118" s="21">
        <v>138.0</v>
      </c>
      <c r="H118" s="21">
        <v>196.0</v>
      </c>
      <c r="I118" s="21">
        <v>100.0</v>
      </c>
      <c r="J118" s="21">
        <f t="shared" si="48"/>
        <v>190.44</v>
      </c>
      <c r="K118" s="21">
        <v>795.0</v>
      </c>
      <c r="L118" s="20" t="s">
        <v>446</v>
      </c>
      <c r="M118" s="21">
        <v>78.54</v>
      </c>
      <c r="N118" s="21">
        <f t="shared" si="57"/>
        <v>257.6771736</v>
      </c>
      <c r="O118" s="21">
        <v>0.0242</v>
      </c>
      <c r="P118" s="21">
        <f t="shared" si="50"/>
        <v>0.07939632546</v>
      </c>
      <c r="Q118" s="25">
        <v>0.482</v>
      </c>
      <c r="R118" s="21">
        <v>0.0756</v>
      </c>
      <c r="S118" s="21">
        <f t="shared" si="51"/>
        <v>0.2480314961</v>
      </c>
      <c r="T118" s="19" t="str">
        <f t="shared" si="52"/>
        <v>0.0793963254593176+248031.496062992i</v>
      </c>
      <c r="U118" s="19" t="str">
        <f t="shared" si="53"/>
        <v>1.29058536995032E-12-0.00000403174603174562i</v>
      </c>
      <c r="V118" s="21">
        <f t="shared" si="54"/>
        <v>-0.000004031746032</v>
      </c>
      <c r="W118" s="22">
        <f t="shared" si="55"/>
        <v>-10.6945385</v>
      </c>
      <c r="X118" s="21">
        <f t="shared" ref="X118:X124" si="58">O118*M118</f>
        <v>1.900668</v>
      </c>
    </row>
    <row r="119" ht="14.25" customHeight="1">
      <c r="A119" s="19" t="s">
        <v>625</v>
      </c>
      <c r="B119" s="25" t="s">
        <v>449</v>
      </c>
      <c r="C119" s="25"/>
      <c r="D119" s="25"/>
      <c r="E119" s="19" t="s">
        <v>626</v>
      </c>
      <c r="F119" s="19" t="s">
        <v>627</v>
      </c>
      <c r="G119" s="21">
        <v>138.0</v>
      </c>
      <c r="H119" s="21">
        <v>196.0</v>
      </c>
      <c r="I119" s="21">
        <v>100.0</v>
      </c>
      <c r="J119" s="21">
        <f t="shared" si="48"/>
        <v>190.44</v>
      </c>
      <c r="K119" s="21">
        <v>795.0</v>
      </c>
      <c r="L119" s="20" t="s">
        <v>446</v>
      </c>
      <c r="M119" s="21">
        <v>38.39</v>
      </c>
      <c r="N119" s="21">
        <f t="shared" si="57"/>
        <v>125.9514476</v>
      </c>
      <c r="O119" s="21">
        <v>0.0242</v>
      </c>
      <c r="P119" s="21">
        <f t="shared" si="50"/>
        <v>0.07939632546</v>
      </c>
      <c r="Q119" s="25">
        <v>0.482</v>
      </c>
      <c r="R119" s="21">
        <v>0.0756</v>
      </c>
      <c r="S119" s="21">
        <f t="shared" si="51"/>
        <v>0.2480314961</v>
      </c>
      <c r="T119" s="19" t="str">
        <f t="shared" si="52"/>
        <v>0.0793963254593176+248031.496062992i</v>
      </c>
      <c r="U119" s="19" t="str">
        <f t="shared" si="53"/>
        <v>1.29058536995032E-12-0.00000403174603174562i</v>
      </c>
      <c r="V119" s="21">
        <f t="shared" si="54"/>
        <v>-0.000004031746032</v>
      </c>
      <c r="W119" s="22">
        <f t="shared" si="55"/>
        <v>-10.6945385</v>
      </c>
      <c r="X119" s="21">
        <f t="shared" si="58"/>
        <v>0.929038</v>
      </c>
    </row>
    <row r="120" ht="14.25" customHeight="1">
      <c r="A120" s="19" t="s">
        <v>628</v>
      </c>
      <c r="B120" s="20" t="s">
        <v>629</v>
      </c>
      <c r="E120" s="19" t="s">
        <v>601</v>
      </c>
      <c r="F120" s="19" t="s">
        <v>626</v>
      </c>
      <c r="G120" s="21">
        <v>138.0</v>
      </c>
      <c r="H120" s="21">
        <v>196.0</v>
      </c>
      <c r="I120" s="21">
        <v>100.0</v>
      </c>
      <c r="J120" s="21">
        <f t="shared" si="48"/>
        <v>190.44</v>
      </c>
      <c r="K120" s="21">
        <v>795.0</v>
      </c>
      <c r="L120" s="20" t="s">
        <v>446</v>
      </c>
      <c r="M120" s="21">
        <v>8.73</v>
      </c>
      <c r="N120" s="21">
        <f t="shared" si="57"/>
        <v>28.6417332</v>
      </c>
      <c r="O120" s="21">
        <v>0.0242</v>
      </c>
      <c r="P120" s="21">
        <f t="shared" si="50"/>
        <v>0.07939632546</v>
      </c>
      <c r="Q120" s="25">
        <v>0.482</v>
      </c>
      <c r="R120" s="21">
        <v>0.0756</v>
      </c>
      <c r="S120" s="21">
        <f t="shared" si="51"/>
        <v>0.2480314961</v>
      </c>
      <c r="T120" s="19" t="str">
        <f t="shared" si="52"/>
        <v>0.0793963254593176+248031.496062992i</v>
      </c>
      <c r="U120" s="19" t="str">
        <f t="shared" si="53"/>
        <v>1.29058536995032E-12-0.00000403174603174562i</v>
      </c>
      <c r="V120" s="21">
        <f t="shared" si="54"/>
        <v>-0.000004031746032</v>
      </c>
      <c r="W120" s="22">
        <f t="shared" si="55"/>
        <v>-10.6945385</v>
      </c>
      <c r="X120" s="21">
        <f t="shared" si="58"/>
        <v>0.211266</v>
      </c>
    </row>
    <row r="121" ht="14.25" customHeight="1">
      <c r="A121" s="19" t="s">
        <v>630</v>
      </c>
      <c r="B121" s="25" t="s">
        <v>449</v>
      </c>
      <c r="C121" s="25"/>
      <c r="D121" s="25"/>
      <c r="E121" s="19" t="s">
        <v>601</v>
      </c>
      <c r="F121" s="19" t="s">
        <v>627</v>
      </c>
      <c r="G121" s="21">
        <v>138.0</v>
      </c>
      <c r="H121" s="21">
        <v>196.0</v>
      </c>
      <c r="I121" s="21">
        <v>100.0</v>
      </c>
      <c r="J121" s="21">
        <f t="shared" si="48"/>
        <v>190.44</v>
      </c>
      <c r="K121" s="21">
        <v>795.0</v>
      </c>
      <c r="L121" s="20" t="s">
        <v>446</v>
      </c>
      <c r="M121" s="21">
        <v>29.03</v>
      </c>
      <c r="N121" s="21">
        <f t="shared" si="57"/>
        <v>95.2427852</v>
      </c>
      <c r="O121" s="21">
        <v>0.0242</v>
      </c>
      <c r="P121" s="21">
        <f t="shared" si="50"/>
        <v>0.07939632546</v>
      </c>
      <c r="Q121" s="25">
        <v>0.482</v>
      </c>
      <c r="R121" s="21">
        <v>0.0756</v>
      </c>
      <c r="S121" s="21">
        <f t="shared" si="51"/>
        <v>0.2480314961</v>
      </c>
      <c r="T121" s="19" t="str">
        <f t="shared" si="52"/>
        <v>0.0793963254593176+248031.496062992i</v>
      </c>
      <c r="U121" s="19" t="str">
        <f t="shared" si="53"/>
        <v>1.29058536995032E-12-0.00000403174603174562i</v>
      </c>
      <c r="V121" s="21">
        <f t="shared" si="54"/>
        <v>-0.000004031746032</v>
      </c>
      <c r="W121" s="22">
        <f t="shared" si="55"/>
        <v>-10.6945385</v>
      </c>
      <c r="X121" s="21">
        <f t="shared" si="58"/>
        <v>0.702526</v>
      </c>
    </row>
    <row r="122" ht="14.25" customHeight="1">
      <c r="A122" s="19" t="s">
        <v>631</v>
      </c>
      <c r="B122" s="20" t="s">
        <v>632</v>
      </c>
      <c r="E122" s="19" t="s">
        <v>601</v>
      </c>
      <c r="F122" s="19" t="s">
        <v>633</v>
      </c>
      <c r="G122" s="21">
        <v>138.0</v>
      </c>
      <c r="H122" s="21">
        <v>196.0</v>
      </c>
      <c r="I122" s="21">
        <v>100.0</v>
      </c>
      <c r="J122" s="21">
        <f t="shared" si="48"/>
        <v>190.44</v>
      </c>
      <c r="K122" s="21">
        <v>795.0</v>
      </c>
      <c r="L122" s="20" t="s">
        <v>446</v>
      </c>
      <c r="M122" s="21">
        <v>108.39</v>
      </c>
      <c r="N122" s="21">
        <f t="shared" si="57"/>
        <v>355.6102476</v>
      </c>
      <c r="O122" s="21">
        <v>0.0242</v>
      </c>
      <c r="P122" s="21">
        <f t="shared" si="50"/>
        <v>0.07939632546</v>
      </c>
      <c r="Q122" s="25">
        <v>0.482</v>
      </c>
      <c r="R122" s="21">
        <v>0.0756</v>
      </c>
      <c r="S122" s="21">
        <f t="shared" si="51"/>
        <v>0.2480314961</v>
      </c>
      <c r="T122" s="19" t="str">
        <f t="shared" si="52"/>
        <v>0.0793963254593176+248031.496062992i</v>
      </c>
      <c r="U122" s="19" t="str">
        <f t="shared" si="53"/>
        <v>1.29058536995032E-12-0.00000403174603174562i</v>
      </c>
      <c r="V122" s="21">
        <f t="shared" si="54"/>
        <v>-0.000004031746032</v>
      </c>
      <c r="W122" s="22">
        <f t="shared" si="55"/>
        <v>-10.6945385</v>
      </c>
      <c r="X122" s="21">
        <f t="shared" si="58"/>
        <v>2.623038</v>
      </c>
    </row>
    <row r="123" ht="14.25" customHeight="1">
      <c r="A123" s="19" t="s">
        <v>634</v>
      </c>
      <c r="E123" s="19" t="s">
        <v>601</v>
      </c>
      <c r="F123" s="19" t="s">
        <v>633</v>
      </c>
      <c r="G123" s="21">
        <v>138.0</v>
      </c>
      <c r="H123" s="21">
        <v>196.0</v>
      </c>
      <c r="I123" s="21">
        <v>100.0</v>
      </c>
      <c r="J123" s="21">
        <f t="shared" si="48"/>
        <v>190.44</v>
      </c>
      <c r="K123" s="21">
        <v>795.0</v>
      </c>
      <c r="L123" s="20" t="s">
        <v>446</v>
      </c>
      <c r="M123" s="21">
        <v>108.39</v>
      </c>
      <c r="N123" s="21">
        <f t="shared" si="57"/>
        <v>355.6102476</v>
      </c>
      <c r="O123" s="21">
        <v>0.0242</v>
      </c>
      <c r="P123" s="21">
        <f t="shared" si="50"/>
        <v>0.07939632546</v>
      </c>
      <c r="Q123" s="25">
        <v>0.482</v>
      </c>
      <c r="R123" s="21">
        <v>0.0756</v>
      </c>
      <c r="S123" s="21">
        <f t="shared" si="51"/>
        <v>0.2480314961</v>
      </c>
      <c r="T123" s="19" t="str">
        <f t="shared" si="52"/>
        <v>0.0793963254593176+248031.496062992i</v>
      </c>
      <c r="U123" s="19" t="str">
        <f t="shared" si="53"/>
        <v>1.29058536995032E-12-0.00000403174603174562i</v>
      </c>
      <c r="V123" s="21">
        <f t="shared" si="54"/>
        <v>-0.000004031746032</v>
      </c>
      <c r="W123" s="22">
        <f t="shared" si="55"/>
        <v>-10.6945385</v>
      </c>
      <c r="X123" s="21">
        <f t="shared" si="58"/>
        <v>2.623038</v>
      </c>
    </row>
    <row r="124" ht="14.25" customHeight="1">
      <c r="A124" s="19" t="s">
        <v>635</v>
      </c>
      <c r="B124" s="20" t="s">
        <v>636</v>
      </c>
      <c r="E124" s="19" t="s">
        <v>633</v>
      </c>
      <c r="F124" s="19" t="s">
        <v>592</v>
      </c>
      <c r="G124" s="21">
        <v>138.0</v>
      </c>
      <c r="H124" s="21">
        <v>108.0</v>
      </c>
      <c r="I124" s="21">
        <v>100.0</v>
      </c>
      <c r="J124" s="21">
        <f t="shared" si="48"/>
        <v>190.44</v>
      </c>
      <c r="K124" s="25">
        <v>1600.0</v>
      </c>
      <c r="L124" s="20" t="s">
        <v>516</v>
      </c>
      <c r="M124" s="21">
        <v>34.89</v>
      </c>
      <c r="N124" s="21">
        <f t="shared" si="57"/>
        <v>114.4685076</v>
      </c>
      <c r="O124" s="25">
        <v>8.44E-6</v>
      </c>
      <c r="P124" s="21">
        <f t="shared" si="50"/>
        <v>0.00002769028871</v>
      </c>
      <c r="Q124" s="25">
        <v>7.56E-5</v>
      </c>
      <c r="R124" s="21">
        <v>0.0</v>
      </c>
      <c r="S124" s="21">
        <v>0.0</v>
      </c>
      <c r="T124" s="19" t="str">
        <f t="shared" si="52"/>
        <v>0.0000276902887139108</v>
      </c>
      <c r="U124" s="20" t="str">
        <f t="shared" si="53"/>
        <v>36113.7440758293</v>
      </c>
      <c r="V124" s="20">
        <f t="shared" si="54"/>
        <v>0</v>
      </c>
      <c r="W124" s="25"/>
      <c r="X124" s="21">
        <f t="shared" si="58"/>
        <v>0.0002944716</v>
      </c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7">
    <mergeCell ref="D34:D35"/>
    <mergeCell ref="B36:D48"/>
    <mergeCell ref="A49:X49"/>
    <mergeCell ref="B21:D28"/>
    <mergeCell ref="B29:B30"/>
    <mergeCell ref="C29:C30"/>
    <mergeCell ref="D29:D30"/>
    <mergeCell ref="B31:D33"/>
    <mergeCell ref="B34:B35"/>
    <mergeCell ref="C34:C35"/>
    <mergeCell ref="B50:D51"/>
    <mergeCell ref="B52:B53"/>
    <mergeCell ref="C52:C53"/>
    <mergeCell ref="D52:D53"/>
    <mergeCell ref="B54:D57"/>
    <mergeCell ref="B58:B59"/>
    <mergeCell ref="C58:C59"/>
    <mergeCell ref="D58:D59"/>
    <mergeCell ref="B60:D73"/>
    <mergeCell ref="B74:B75"/>
    <mergeCell ref="C74:C75"/>
    <mergeCell ref="D74:D75"/>
    <mergeCell ref="B76:D89"/>
    <mergeCell ref="A98:X98"/>
    <mergeCell ref="A103:X103"/>
    <mergeCell ref="B94:D97"/>
    <mergeCell ref="B99:B100"/>
    <mergeCell ref="C99:C100"/>
    <mergeCell ref="D99:D100"/>
    <mergeCell ref="B101:D101"/>
    <mergeCell ref="B102:D102"/>
    <mergeCell ref="B104:D110"/>
    <mergeCell ref="B122:D123"/>
    <mergeCell ref="B124:D124"/>
    <mergeCell ref="B111:D112"/>
    <mergeCell ref="B113:D113"/>
    <mergeCell ref="B114:D116"/>
    <mergeCell ref="B117:B118"/>
    <mergeCell ref="C117:C118"/>
    <mergeCell ref="D117:D118"/>
    <mergeCell ref="B120:D120"/>
    <mergeCell ref="I1:I2"/>
    <mergeCell ref="J1:J2"/>
    <mergeCell ref="K1:K2"/>
    <mergeCell ref="L1:L2"/>
    <mergeCell ref="M1:M2"/>
    <mergeCell ref="N1:N2"/>
    <mergeCell ref="O1:O2"/>
    <mergeCell ref="W1:W2"/>
    <mergeCell ref="X1:X2"/>
    <mergeCell ref="P1:P2"/>
    <mergeCell ref="Q1:Q2"/>
    <mergeCell ref="R1:R2"/>
    <mergeCell ref="S1:S2"/>
    <mergeCell ref="T1:T2"/>
    <mergeCell ref="U1:U2"/>
    <mergeCell ref="V1:V2"/>
    <mergeCell ref="A1:A2"/>
    <mergeCell ref="C1:D1"/>
    <mergeCell ref="E1:E2"/>
    <mergeCell ref="F1:F2"/>
    <mergeCell ref="G1:G2"/>
    <mergeCell ref="H1:H2"/>
    <mergeCell ref="A3:X3"/>
    <mergeCell ref="C11:C12"/>
    <mergeCell ref="D11:D12"/>
    <mergeCell ref="B13:D14"/>
    <mergeCell ref="B15:D15"/>
    <mergeCell ref="B16:D19"/>
    <mergeCell ref="A20:X20"/>
    <mergeCell ref="B1:B2"/>
    <mergeCell ref="B4:B5"/>
    <mergeCell ref="C4:C5"/>
    <mergeCell ref="D4:D5"/>
    <mergeCell ref="B6:D7"/>
    <mergeCell ref="B8:D10"/>
    <mergeCell ref="B11:B12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2.0"/>
    <col customWidth="1" min="10" max="10" width="8.71"/>
    <col customWidth="1" min="11" max="11" width="12.0"/>
    <col customWidth="1" min="12" max="12" width="12.14"/>
    <col customWidth="1" min="13" max="13" width="11.71"/>
    <col customWidth="1" min="14" max="14" width="8.71"/>
  </cols>
  <sheetData>
    <row r="1" ht="14.25" customHeight="1">
      <c r="A1" s="18" t="s">
        <v>637</v>
      </c>
      <c r="B1" s="18" t="s">
        <v>3</v>
      </c>
      <c r="C1" s="18" t="s">
        <v>638</v>
      </c>
      <c r="D1" s="18" t="s">
        <v>639</v>
      </c>
      <c r="G1" s="18" t="s">
        <v>640</v>
      </c>
    </row>
    <row r="2" ht="14.25" customHeight="1">
      <c r="D2" s="18" t="s">
        <v>641</v>
      </c>
      <c r="E2" s="18" t="s">
        <v>642</v>
      </c>
      <c r="F2" s="18" t="s">
        <v>643</v>
      </c>
      <c r="G2" s="18" t="s">
        <v>644</v>
      </c>
      <c r="H2" s="18" t="s">
        <v>645</v>
      </c>
      <c r="I2" s="18" t="s">
        <v>646</v>
      </c>
      <c r="J2" s="18"/>
      <c r="K2" s="18" t="s">
        <v>647</v>
      </c>
      <c r="L2" s="18" t="s">
        <v>648</v>
      </c>
      <c r="M2" s="18" t="s">
        <v>649</v>
      </c>
      <c r="N2" s="18" t="s">
        <v>650</v>
      </c>
    </row>
    <row r="3" ht="14.25" customHeight="1">
      <c r="A3" s="27" t="s">
        <v>13</v>
      </c>
    </row>
    <row r="4" ht="14.25" customHeight="1">
      <c r="A4" s="13" t="s">
        <v>651</v>
      </c>
      <c r="B4" s="13" t="s">
        <v>48</v>
      </c>
      <c r="C4" s="13">
        <v>50.0</v>
      </c>
      <c r="D4" s="13">
        <v>138.0</v>
      </c>
      <c r="E4" s="13">
        <v>69.0</v>
      </c>
      <c r="F4" s="5" t="s">
        <v>250</v>
      </c>
      <c r="G4" s="13">
        <v>12.0</v>
      </c>
      <c r="H4" s="13">
        <v>20.0</v>
      </c>
      <c r="I4" s="13">
        <f t="shared" ref="I4:I33" si="1">(G4/100)/SQRT(1 + (H4)^2)</f>
        <v>0.005992514033</v>
      </c>
      <c r="J4" s="13"/>
      <c r="K4" s="13">
        <f t="shared" ref="K4:K33" si="2">H4 * (G4/100) / SQRT(1 + (H4)^2)</f>
        <v>0.1198502807</v>
      </c>
      <c r="L4" s="13">
        <v>0.0</v>
      </c>
      <c r="M4" s="13">
        <v>0.0</v>
      </c>
      <c r="N4" s="13">
        <v>0.0</v>
      </c>
    </row>
    <row r="5" ht="14.25" customHeight="1">
      <c r="A5" s="13" t="s">
        <v>652</v>
      </c>
      <c r="B5" s="13" t="s">
        <v>48</v>
      </c>
      <c r="C5" s="13">
        <v>50.0</v>
      </c>
      <c r="D5" s="13">
        <v>138.0</v>
      </c>
      <c r="E5" s="13">
        <v>69.0</v>
      </c>
      <c r="F5" s="5" t="s">
        <v>250</v>
      </c>
      <c r="G5" s="13">
        <v>12.0</v>
      </c>
      <c r="H5" s="13">
        <v>20.0</v>
      </c>
      <c r="I5" s="13">
        <f t="shared" si="1"/>
        <v>0.005992514033</v>
      </c>
      <c r="J5" s="13"/>
      <c r="K5" s="13">
        <f t="shared" si="2"/>
        <v>0.1198502807</v>
      </c>
      <c r="L5" s="13">
        <v>0.0</v>
      </c>
      <c r="M5" s="13">
        <v>0.0</v>
      </c>
      <c r="N5" s="13">
        <v>0.0</v>
      </c>
    </row>
    <row r="6" ht="14.25" customHeight="1">
      <c r="A6" s="13" t="s">
        <v>653</v>
      </c>
      <c r="B6" s="13" t="s">
        <v>654</v>
      </c>
      <c r="C6" s="13">
        <v>50.0</v>
      </c>
      <c r="D6" s="13">
        <v>138.0</v>
      </c>
      <c r="E6" s="13">
        <v>69.0</v>
      </c>
      <c r="F6" s="5" t="s">
        <v>250</v>
      </c>
      <c r="G6" s="13">
        <v>12.0</v>
      </c>
      <c r="H6" s="13">
        <v>20.0</v>
      </c>
      <c r="I6" s="13">
        <f t="shared" si="1"/>
        <v>0.005992514033</v>
      </c>
      <c r="J6" s="13"/>
      <c r="K6" s="13">
        <f t="shared" si="2"/>
        <v>0.1198502807</v>
      </c>
      <c r="L6" s="13">
        <v>0.0</v>
      </c>
      <c r="M6" s="13">
        <v>0.0</v>
      </c>
      <c r="N6" s="13">
        <v>0.0</v>
      </c>
    </row>
    <row r="7" ht="14.25" customHeight="1">
      <c r="A7" s="13" t="s">
        <v>655</v>
      </c>
      <c r="B7" s="13" t="s">
        <v>654</v>
      </c>
      <c r="C7" s="13">
        <v>30.0</v>
      </c>
      <c r="D7" s="13">
        <v>138.0</v>
      </c>
      <c r="E7" s="13">
        <v>69.0</v>
      </c>
      <c r="F7" s="5" t="s">
        <v>250</v>
      </c>
      <c r="G7" s="13">
        <v>12.0</v>
      </c>
      <c r="H7" s="13">
        <v>15.0</v>
      </c>
      <c r="I7" s="13">
        <f t="shared" si="1"/>
        <v>0.007982281263</v>
      </c>
      <c r="J7" s="13"/>
      <c r="K7" s="13">
        <f t="shared" si="2"/>
        <v>0.1197342189</v>
      </c>
      <c r="L7" s="13">
        <v>0.0</v>
      </c>
      <c r="M7" s="13">
        <v>0.0</v>
      </c>
      <c r="N7" s="13">
        <v>0.0</v>
      </c>
    </row>
    <row r="8" ht="14.25" customHeight="1">
      <c r="A8" s="13" t="s">
        <v>656</v>
      </c>
      <c r="B8" s="13" t="s">
        <v>654</v>
      </c>
      <c r="C8" s="13">
        <v>30.0</v>
      </c>
      <c r="D8" s="13">
        <v>138.0</v>
      </c>
      <c r="E8" s="13">
        <v>69.0</v>
      </c>
      <c r="F8" s="5" t="s">
        <v>250</v>
      </c>
      <c r="G8" s="13">
        <v>12.0</v>
      </c>
      <c r="H8" s="13">
        <v>15.0</v>
      </c>
      <c r="I8" s="13">
        <f t="shared" si="1"/>
        <v>0.007982281263</v>
      </c>
      <c r="J8" s="13"/>
      <c r="K8" s="13">
        <f t="shared" si="2"/>
        <v>0.1197342189</v>
      </c>
      <c r="L8" s="13">
        <v>0.0</v>
      </c>
      <c r="M8" s="13">
        <v>0.0</v>
      </c>
      <c r="N8" s="13">
        <v>0.0</v>
      </c>
    </row>
    <row r="9" ht="14.25" customHeight="1">
      <c r="A9" s="13" t="s">
        <v>657</v>
      </c>
      <c r="B9" s="13" t="s">
        <v>452</v>
      </c>
      <c r="C9" s="13">
        <v>300.0</v>
      </c>
      <c r="D9" s="13">
        <v>230.0</v>
      </c>
      <c r="E9" s="13">
        <v>138.0</v>
      </c>
      <c r="F9" s="5" t="s">
        <v>250</v>
      </c>
      <c r="G9" s="13">
        <v>16.0</v>
      </c>
      <c r="H9" s="13">
        <v>35.0</v>
      </c>
      <c r="I9" s="13">
        <f t="shared" si="1"/>
        <v>0.004569563824</v>
      </c>
      <c r="J9" s="13"/>
      <c r="K9" s="13">
        <f t="shared" si="2"/>
        <v>0.1599347338</v>
      </c>
      <c r="L9" s="13">
        <v>0.0</v>
      </c>
      <c r="M9" s="13">
        <v>0.0</v>
      </c>
      <c r="N9" s="13">
        <v>0.0</v>
      </c>
    </row>
    <row r="10" ht="14.25" customHeight="1">
      <c r="A10" s="13" t="s">
        <v>658</v>
      </c>
      <c r="B10" s="13" t="s">
        <v>452</v>
      </c>
      <c r="C10" s="13">
        <v>300.0</v>
      </c>
      <c r="D10" s="13">
        <v>230.0</v>
      </c>
      <c r="E10" s="13">
        <v>138.0</v>
      </c>
      <c r="F10" s="5" t="s">
        <v>250</v>
      </c>
      <c r="G10" s="13">
        <v>16.0</v>
      </c>
      <c r="H10" s="13">
        <v>35.0</v>
      </c>
      <c r="I10" s="13">
        <f t="shared" si="1"/>
        <v>0.004569563824</v>
      </c>
      <c r="J10" s="13"/>
      <c r="K10" s="13">
        <f t="shared" si="2"/>
        <v>0.1599347338</v>
      </c>
      <c r="L10" s="13">
        <v>0.0</v>
      </c>
      <c r="M10" s="13">
        <v>0.0</v>
      </c>
      <c r="N10" s="13">
        <v>0.0</v>
      </c>
    </row>
    <row r="11" ht="14.25" customHeight="1">
      <c r="A11" s="13" t="s">
        <v>659</v>
      </c>
      <c r="B11" s="13" t="s">
        <v>452</v>
      </c>
      <c r="C11" s="13">
        <v>300.0</v>
      </c>
      <c r="D11" s="13">
        <v>230.0</v>
      </c>
      <c r="E11" s="13">
        <v>138.0</v>
      </c>
      <c r="F11" s="5" t="s">
        <v>250</v>
      </c>
      <c r="G11" s="13">
        <v>16.0</v>
      </c>
      <c r="H11" s="13">
        <v>35.0</v>
      </c>
      <c r="I11" s="13">
        <f t="shared" si="1"/>
        <v>0.004569563824</v>
      </c>
      <c r="J11" s="13"/>
      <c r="K11" s="13">
        <f t="shared" si="2"/>
        <v>0.1599347338</v>
      </c>
      <c r="L11" s="13">
        <v>0.0</v>
      </c>
      <c r="M11" s="13">
        <v>0.0</v>
      </c>
      <c r="N11" s="13">
        <v>0.0</v>
      </c>
    </row>
    <row r="12" ht="14.25" customHeight="1">
      <c r="A12" s="13" t="s">
        <v>660</v>
      </c>
      <c r="B12" s="13" t="s">
        <v>452</v>
      </c>
      <c r="C12" s="13">
        <v>500.0</v>
      </c>
      <c r="D12" s="13">
        <v>138.0</v>
      </c>
      <c r="E12" s="13">
        <v>69.0</v>
      </c>
      <c r="F12" s="5" t="s">
        <v>250</v>
      </c>
      <c r="G12" s="13">
        <v>12.0</v>
      </c>
      <c r="H12" s="13">
        <v>40.0</v>
      </c>
      <c r="I12" s="13">
        <f t="shared" si="1"/>
        <v>0.002999062939</v>
      </c>
      <c r="J12" s="13"/>
      <c r="K12" s="13">
        <f t="shared" si="2"/>
        <v>0.1199625176</v>
      </c>
      <c r="L12" s="13">
        <v>0.0</v>
      </c>
      <c r="M12" s="13">
        <v>0.0</v>
      </c>
      <c r="N12" s="13">
        <v>0.0</v>
      </c>
    </row>
    <row r="13" ht="14.25" customHeight="1">
      <c r="A13" s="13" t="s">
        <v>661</v>
      </c>
      <c r="B13" s="13" t="s">
        <v>461</v>
      </c>
      <c r="C13" s="13">
        <v>50.0</v>
      </c>
      <c r="D13" s="13">
        <v>138.0</v>
      </c>
      <c r="E13" s="13">
        <v>69.0</v>
      </c>
      <c r="F13" s="5" t="s">
        <v>250</v>
      </c>
      <c r="G13" s="13">
        <v>12.0</v>
      </c>
      <c r="H13" s="13">
        <v>20.0</v>
      </c>
      <c r="I13" s="13">
        <f t="shared" si="1"/>
        <v>0.005992514033</v>
      </c>
      <c r="J13" s="13"/>
      <c r="K13" s="13">
        <f t="shared" si="2"/>
        <v>0.1198502807</v>
      </c>
      <c r="L13" s="13">
        <v>0.0</v>
      </c>
      <c r="M13" s="13">
        <v>0.0</v>
      </c>
      <c r="N13" s="13">
        <v>0.0</v>
      </c>
    </row>
    <row r="14" ht="14.25" customHeight="1">
      <c r="A14" s="13" t="s">
        <v>662</v>
      </c>
      <c r="B14" s="13" t="s">
        <v>461</v>
      </c>
      <c r="C14" s="13">
        <v>160.0</v>
      </c>
      <c r="D14" s="13">
        <v>138.0</v>
      </c>
      <c r="E14" s="13">
        <v>13.8</v>
      </c>
      <c r="F14" s="5" t="s">
        <v>250</v>
      </c>
      <c r="G14" s="13">
        <v>12.0</v>
      </c>
      <c r="H14" s="13">
        <v>30.0</v>
      </c>
      <c r="I14" s="13">
        <f t="shared" si="1"/>
        <v>0.003997779628</v>
      </c>
      <c r="J14" s="13"/>
      <c r="K14" s="13">
        <f t="shared" si="2"/>
        <v>0.1199333888</v>
      </c>
      <c r="L14" s="13">
        <v>0.0</v>
      </c>
      <c r="M14" s="13">
        <v>0.0</v>
      </c>
      <c r="N14" s="13">
        <v>0.0</v>
      </c>
    </row>
    <row r="15" ht="14.25" customHeight="1">
      <c r="A15" s="13" t="s">
        <v>663</v>
      </c>
      <c r="B15" s="13" t="s">
        <v>55</v>
      </c>
      <c r="C15" s="13">
        <v>100.0</v>
      </c>
      <c r="D15" s="13">
        <v>138.0</v>
      </c>
      <c r="E15" s="13">
        <v>69.0</v>
      </c>
      <c r="F15" s="5" t="s">
        <v>250</v>
      </c>
      <c r="G15" s="13">
        <v>12.0</v>
      </c>
      <c r="H15" s="13">
        <v>25.0</v>
      </c>
      <c r="I15" s="13">
        <f t="shared" si="1"/>
        <v>0.004796164602</v>
      </c>
      <c r="J15" s="13"/>
      <c r="K15" s="13">
        <f t="shared" si="2"/>
        <v>0.119904115</v>
      </c>
      <c r="L15" s="13">
        <v>0.0</v>
      </c>
      <c r="M15" s="13">
        <v>0.0</v>
      </c>
      <c r="N15" s="13">
        <v>0.0</v>
      </c>
    </row>
    <row r="16" ht="14.25" customHeight="1">
      <c r="A16" s="13" t="s">
        <v>664</v>
      </c>
      <c r="B16" s="13" t="s">
        <v>55</v>
      </c>
      <c r="C16" s="13">
        <v>50.0</v>
      </c>
      <c r="D16" s="13">
        <v>138.0</v>
      </c>
      <c r="E16" s="13">
        <v>69.0</v>
      </c>
      <c r="F16" s="5" t="s">
        <v>250</v>
      </c>
      <c r="G16" s="13">
        <v>12.0</v>
      </c>
      <c r="H16" s="13">
        <v>20.0</v>
      </c>
      <c r="I16" s="13">
        <f t="shared" si="1"/>
        <v>0.005992514033</v>
      </c>
      <c r="J16" s="13"/>
      <c r="K16" s="13">
        <f t="shared" si="2"/>
        <v>0.1198502807</v>
      </c>
      <c r="L16" s="13">
        <v>0.0</v>
      </c>
      <c r="M16" s="13">
        <v>0.0</v>
      </c>
      <c r="N16" s="13">
        <v>0.0</v>
      </c>
    </row>
    <row r="17" ht="14.25" customHeight="1">
      <c r="A17" s="13" t="s">
        <v>665</v>
      </c>
      <c r="B17" s="13" t="s">
        <v>55</v>
      </c>
      <c r="C17" s="13">
        <v>28.0</v>
      </c>
      <c r="D17" s="13">
        <v>138.0</v>
      </c>
      <c r="E17" s="13">
        <v>13.8</v>
      </c>
      <c r="F17" s="5" t="s">
        <v>250</v>
      </c>
      <c r="G17" s="13">
        <v>12.0</v>
      </c>
      <c r="H17" s="13">
        <v>15.0</v>
      </c>
      <c r="I17" s="13">
        <f t="shared" si="1"/>
        <v>0.007982281263</v>
      </c>
      <c r="J17" s="13"/>
      <c r="K17" s="13">
        <f t="shared" si="2"/>
        <v>0.1197342189</v>
      </c>
      <c r="L17" s="13">
        <v>0.0</v>
      </c>
      <c r="M17" s="13">
        <v>0.0</v>
      </c>
      <c r="N17" s="13">
        <v>0.0</v>
      </c>
    </row>
    <row r="18" ht="14.25" customHeight="1">
      <c r="A18" s="13" t="s">
        <v>666</v>
      </c>
      <c r="B18" s="13" t="s">
        <v>55</v>
      </c>
      <c r="C18" s="13">
        <v>28.0</v>
      </c>
      <c r="D18" s="13">
        <v>138.0</v>
      </c>
      <c r="E18" s="13">
        <v>13.8</v>
      </c>
      <c r="F18" s="5" t="s">
        <v>250</v>
      </c>
      <c r="G18" s="13">
        <v>12.0</v>
      </c>
      <c r="H18" s="13">
        <v>15.0</v>
      </c>
      <c r="I18" s="13">
        <f t="shared" si="1"/>
        <v>0.007982281263</v>
      </c>
      <c r="J18" s="13"/>
      <c r="K18" s="13">
        <f t="shared" si="2"/>
        <v>0.1197342189</v>
      </c>
      <c r="L18" s="13">
        <v>0.0</v>
      </c>
      <c r="M18" s="13">
        <v>0.0</v>
      </c>
      <c r="N18" s="13">
        <v>0.0</v>
      </c>
    </row>
    <row r="19" ht="14.25" customHeight="1">
      <c r="A19" s="13" t="s">
        <v>667</v>
      </c>
      <c r="B19" s="13" t="s">
        <v>55</v>
      </c>
      <c r="C19" s="13">
        <v>72.0</v>
      </c>
      <c r="D19" s="13">
        <v>138.0</v>
      </c>
      <c r="E19" s="13">
        <v>13.8</v>
      </c>
      <c r="F19" s="5" t="s">
        <v>250</v>
      </c>
      <c r="G19" s="13">
        <v>12.0</v>
      </c>
      <c r="H19" s="13">
        <v>20.0</v>
      </c>
      <c r="I19" s="13">
        <f t="shared" si="1"/>
        <v>0.005992514033</v>
      </c>
      <c r="J19" s="13"/>
      <c r="K19" s="13">
        <f t="shared" si="2"/>
        <v>0.1198502807</v>
      </c>
      <c r="L19" s="13">
        <v>0.0</v>
      </c>
      <c r="M19" s="13">
        <v>0.0</v>
      </c>
      <c r="N19" s="13">
        <v>0.0</v>
      </c>
    </row>
    <row r="20" ht="14.25" customHeight="1">
      <c r="A20" s="13" t="s">
        <v>668</v>
      </c>
      <c r="B20" s="13" t="s">
        <v>55</v>
      </c>
      <c r="C20" s="13">
        <v>72.0</v>
      </c>
      <c r="D20" s="13">
        <v>138.0</v>
      </c>
      <c r="E20" s="13">
        <v>13.8</v>
      </c>
      <c r="F20" s="5" t="s">
        <v>250</v>
      </c>
      <c r="G20" s="13">
        <v>12.0</v>
      </c>
      <c r="H20" s="13">
        <v>20.0</v>
      </c>
      <c r="I20" s="13">
        <f t="shared" si="1"/>
        <v>0.005992514033</v>
      </c>
      <c r="J20" s="13"/>
      <c r="K20" s="13">
        <f t="shared" si="2"/>
        <v>0.1198502807</v>
      </c>
      <c r="L20" s="13">
        <v>0.0</v>
      </c>
      <c r="M20" s="13">
        <v>0.0</v>
      </c>
      <c r="N20" s="13">
        <v>0.0</v>
      </c>
    </row>
    <row r="21" ht="14.25" customHeight="1">
      <c r="A21" s="13" t="s">
        <v>669</v>
      </c>
      <c r="B21" s="13" t="s">
        <v>465</v>
      </c>
      <c r="C21" s="13">
        <v>50.0</v>
      </c>
      <c r="D21" s="13">
        <v>138.0</v>
      </c>
      <c r="E21" s="13">
        <v>69.0</v>
      </c>
      <c r="F21" s="5" t="s">
        <v>250</v>
      </c>
      <c r="G21" s="13">
        <v>12.0</v>
      </c>
      <c r="H21" s="13">
        <v>20.0</v>
      </c>
      <c r="I21" s="13">
        <f t="shared" si="1"/>
        <v>0.005992514033</v>
      </c>
      <c r="J21" s="13"/>
      <c r="K21" s="13">
        <f t="shared" si="2"/>
        <v>0.1198502807</v>
      </c>
      <c r="L21" s="13">
        <v>0.0</v>
      </c>
      <c r="M21" s="13">
        <v>0.0</v>
      </c>
      <c r="N21" s="13">
        <v>0.0</v>
      </c>
    </row>
    <row r="22" ht="14.25" customHeight="1">
      <c r="A22" s="13" t="s">
        <v>670</v>
      </c>
      <c r="B22" s="13" t="s">
        <v>465</v>
      </c>
      <c r="C22" s="13">
        <v>50.0</v>
      </c>
      <c r="D22" s="13">
        <v>138.0</v>
      </c>
      <c r="E22" s="13">
        <v>69.0</v>
      </c>
      <c r="F22" s="5" t="s">
        <v>250</v>
      </c>
      <c r="G22" s="13">
        <v>12.0</v>
      </c>
      <c r="H22" s="13">
        <v>20.0</v>
      </c>
      <c r="I22" s="13">
        <f t="shared" si="1"/>
        <v>0.005992514033</v>
      </c>
      <c r="J22" s="13"/>
      <c r="K22" s="13">
        <f t="shared" si="2"/>
        <v>0.1198502807</v>
      </c>
      <c r="L22" s="13">
        <v>0.0</v>
      </c>
      <c r="M22" s="13">
        <v>0.0</v>
      </c>
      <c r="N22" s="13">
        <v>0.0</v>
      </c>
    </row>
    <row r="23" ht="14.25" customHeight="1">
      <c r="A23" s="13" t="s">
        <v>671</v>
      </c>
      <c r="B23" s="13" t="s">
        <v>465</v>
      </c>
      <c r="C23" s="13">
        <v>50.0</v>
      </c>
      <c r="D23" s="13">
        <v>138.0</v>
      </c>
      <c r="E23" s="13">
        <v>69.0</v>
      </c>
      <c r="F23" s="5" t="s">
        <v>250</v>
      </c>
      <c r="G23" s="13">
        <v>12.0</v>
      </c>
      <c r="H23" s="13">
        <v>20.0</v>
      </c>
      <c r="I23" s="13">
        <f t="shared" si="1"/>
        <v>0.005992514033</v>
      </c>
      <c r="J23" s="13"/>
      <c r="K23" s="13">
        <f t="shared" si="2"/>
        <v>0.1198502807</v>
      </c>
      <c r="L23" s="13">
        <v>0.0</v>
      </c>
      <c r="M23" s="13">
        <v>0.0</v>
      </c>
      <c r="N23" s="13">
        <v>0.0</v>
      </c>
    </row>
    <row r="24" ht="14.25" customHeight="1">
      <c r="A24" s="13" t="s">
        <v>672</v>
      </c>
      <c r="B24" s="13" t="s">
        <v>458</v>
      </c>
      <c r="C24" s="13">
        <v>50.0</v>
      </c>
      <c r="D24" s="13">
        <v>138.0</v>
      </c>
      <c r="E24" s="13">
        <v>69.0</v>
      </c>
      <c r="F24" s="5">
        <v>13.8</v>
      </c>
      <c r="G24" s="13">
        <v>12.0</v>
      </c>
      <c r="H24" s="13">
        <v>20.0</v>
      </c>
      <c r="I24" s="13">
        <f t="shared" si="1"/>
        <v>0.005992514033</v>
      </c>
      <c r="J24" s="13"/>
      <c r="K24" s="13">
        <f t="shared" si="2"/>
        <v>0.1198502807</v>
      </c>
      <c r="L24" s="13">
        <v>0.0</v>
      </c>
      <c r="M24" s="13">
        <v>0.0</v>
      </c>
      <c r="N24" s="13">
        <v>0.0</v>
      </c>
    </row>
    <row r="25" ht="14.25" customHeight="1">
      <c r="A25" s="13" t="s">
        <v>673</v>
      </c>
      <c r="B25" s="13" t="s">
        <v>458</v>
      </c>
      <c r="C25" s="13">
        <v>100.0</v>
      </c>
      <c r="D25" s="13">
        <v>138.0</v>
      </c>
      <c r="E25" s="13">
        <v>69.0</v>
      </c>
      <c r="F25" s="5">
        <v>13.8</v>
      </c>
      <c r="G25" s="13">
        <v>12.0</v>
      </c>
      <c r="H25" s="13">
        <v>25.0</v>
      </c>
      <c r="I25" s="13">
        <f t="shared" si="1"/>
        <v>0.004796164602</v>
      </c>
      <c r="J25" s="13"/>
      <c r="K25" s="13">
        <f t="shared" si="2"/>
        <v>0.119904115</v>
      </c>
      <c r="L25" s="13">
        <v>0.0</v>
      </c>
      <c r="M25" s="13">
        <v>0.0</v>
      </c>
      <c r="N25" s="13">
        <v>0.0</v>
      </c>
    </row>
    <row r="26" ht="14.25" customHeight="1">
      <c r="A26" s="13" t="s">
        <v>674</v>
      </c>
      <c r="B26" s="13" t="s">
        <v>458</v>
      </c>
      <c r="C26" s="13">
        <v>75.0</v>
      </c>
      <c r="D26" s="13">
        <v>138.0</v>
      </c>
      <c r="E26" s="13">
        <v>69.0</v>
      </c>
      <c r="F26" s="5">
        <v>13.8</v>
      </c>
      <c r="G26" s="13">
        <v>12.0</v>
      </c>
      <c r="H26" s="13">
        <v>25.0</v>
      </c>
      <c r="I26" s="13">
        <f t="shared" si="1"/>
        <v>0.004796164602</v>
      </c>
      <c r="J26" s="13"/>
      <c r="K26" s="13">
        <f t="shared" si="2"/>
        <v>0.119904115</v>
      </c>
      <c r="L26" s="13">
        <v>0.0</v>
      </c>
      <c r="M26" s="13">
        <v>0.0</v>
      </c>
      <c r="N26" s="13">
        <v>0.0</v>
      </c>
    </row>
    <row r="27" ht="14.25" customHeight="1">
      <c r="A27" s="13" t="s">
        <v>675</v>
      </c>
      <c r="B27" s="13" t="s">
        <v>467</v>
      </c>
      <c r="C27" s="13">
        <v>100.0</v>
      </c>
      <c r="D27" s="13">
        <v>138.0</v>
      </c>
      <c r="E27" s="13">
        <v>69.0</v>
      </c>
      <c r="F27" s="5" t="s">
        <v>250</v>
      </c>
      <c r="G27" s="13">
        <v>12.0</v>
      </c>
      <c r="H27" s="13">
        <v>25.0</v>
      </c>
      <c r="I27" s="13">
        <f t="shared" si="1"/>
        <v>0.004796164602</v>
      </c>
      <c r="J27" s="13"/>
      <c r="K27" s="13">
        <f t="shared" si="2"/>
        <v>0.119904115</v>
      </c>
      <c r="L27" s="13">
        <v>0.0</v>
      </c>
      <c r="M27" s="13">
        <v>0.0</v>
      </c>
      <c r="N27" s="13">
        <v>0.0</v>
      </c>
    </row>
    <row r="28" ht="14.25" customHeight="1">
      <c r="A28" s="13" t="s">
        <v>676</v>
      </c>
      <c r="B28" s="13" t="s">
        <v>467</v>
      </c>
      <c r="C28" s="13">
        <v>100.0</v>
      </c>
      <c r="D28" s="13">
        <v>138.0</v>
      </c>
      <c r="E28" s="13">
        <v>69.0</v>
      </c>
      <c r="F28" s="5" t="s">
        <v>250</v>
      </c>
      <c r="G28" s="13">
        <v>12.0</v>
      </c>
      <c r="H28" s="13">
        <v>25.0</v>
      </c>
      <c r="I28" s="13">
        <f t="shared" si="1"/>
        <v>0.004796164602</v>
      </c>
      <c r="J28" s="13"/>
      <c r="K28" s="13">
        <f t="shared" si="2"/>
        <v>0.119904115</v>
      </c>
      <c r="L28" s="13">
        <v>0.0</v>
      </c>
      <c r="M28" s="13">
        <v>0.0</v>
      </c>
      <c r="N28" s="13">
        <v>0.0</v>
      </c>
    </row>
    <row r="29" ht="14.25" customHeight="1">
      <c r="A29" s="13" t="s">
        <v>677</v>
      </c>
      <c r="B29" s="13" t="s">
        <v>467</v>
      </c>
      <c r="C29" s="13">
        <v>125.0</v>
      </c>
      <c r="D29" s="13">
        <v>138.0</v>
      </c>
      <c r="E29" s="13">
        <v>13.8</v>
      </c>
      <c r="F29" s="5" t="s">
        <v>250</v>
      </c>
      <c r="G29" s="13">
        <v>12.0</v>
      </c>
      <c r="H29" s="13">
        <v>30.0</v>
      </c>
      <c r="I29" s="13">
        <f t="shared" si="1"/>
        <v>0.003997779628</v>
      </c>
      <c r="J29" s="13"/>
      <c r="K29" s="13">
        <f t="shared" si="2"/>
        <v>0.1199333888</v>
      </c>
      <c r="L29" s="13">
        <v>0.0</v>
      </c>
      <c r="M29" s="13">
        <v>0.0</v>
      </c>
      <c r="N29" s="13">
        <v>0.0</v>
      </c>
    </row>
    <row r="30" ht="14.25" customHeight="1">
      <c r="A30" s="13" t="s">
        <v>678</v>
      </c>
      <c r="B30" s="13" t="s">
        <v>467</v>
      </c>
      <c r="C30" s="13">
        <v>125.0</v>
      </c>
      <c r="D30" s="13">
        <v>138.0</v>
      </c>
      <c r="E30" s="13">
        <v>13.8</v>
      </c>
      <c r="F30" s="5" t="s">
        <v>250</v>
      </c>
      <c r="G30" s="13">
        <v>12.0</v>
      </c>
      <c r="H30" s="13">
        <v>30.0</v>
      </c>
      <c r="I30" s="13">
        <f t="shared" si="1"/>
        <v>0.003997779628</v>
      </c>
      <c r="J30" s="13"/>
      <c r="K30" s="13">
        <f t="shared" si="2"/>
        <v>0.1199333888</v>
      </c>
      <c r="L30" s="13">
        <v>0.0</v>
      </c>
      <c r="M30" s="13">
        <v>0.0</v>
      </c>
      <c r="N30" s="13">
        <v>0.0</v>
      </c>
    </row>
    <row r="31" ht="14.25" customHeight="1">
      <c r="A31" s="13" t="s">
        <v>679</v>
      </c>
      <c r="B31" s="13" t="s">
        <v>467</v>
      </c>
      <c r="C31" s="13">
        <v>180.0</v>
      </c>
      <c r="D31" s="13">
        <v>138.0</v>
      </c>
      <c r="E31" s="13">
        <v>18.0</v>
      </c>
      <c r="F31" s="5" t="s">
        <v>250</v>
      </c>
      <c r="G31" s="13">
        <v>12.0</v>
      </c>
      <c r="H31" s="13">
        <v>30.0</v>
      </c>
      <c r="I31" s="13">
        <f t="shared" si="1"/>
        <v>0.003997779628</v>
      </c>
      <c r="J31" s="13"/>
      <c r="K31" s="13">
        <f t="shared" si="2"/>
        <v>0.1199333888</v>
      </c>
      <c r="L31" s="13">
        <v>0.0</v>
      </c>
      <c r="M31" s="13">
        <v>0.0</v>
      </c>
      <c r="N31" s="13">
        <v>0.0</v>
      </c>
    </row>
    <row r="32" ht="14.25" customHeight="1">
      <c r="A32" s="13" t="s">
        <v>680</v>
      </c>
      <c r="B32" s="13" t="s">
        <v>467</v>
      </c>
      <c r="C32" s="13">
        <v>25.0</v>
      </c>
      <c r="D32" s="13">
        <v>13.8</v>
      </c>
      <c r="E32" s="13">
        <v>4.0</v>
      </c>
      <c r="F32" s="5" t="s">
        <v>250</v>
      </c>
      <c r="G32" s="13">
        <v>9.0</v>
      </c>
      <c r="H32" s="13">
        <v>15.0</v>
      </c>
      <c r="I32" s="13">
        <f t="shared" si="1"/>
        <v>0.005986710947</v>
      </c>
      <c r="J32" s="13"/>
      <c r="K32" s="13">
        <f t="shared" si="2"/>
        <v>0.08980066421</v>
      </c>
      <c r="L32" s="13">
        <v>0.0</v>
      </c>
      <c r="M32" s="13">
        <v>0.0</v>
      </c>
      <c r="N32" s="13">
        <v>0.0</v>
      </c>
    </row>
    <row r="33" ht="14.25" customHeight="1">
      <c r="A33" s="13" t="s">
        <v>681</v>
      </c>
      <c r="B33" s="13" t="s">
        <v>467</v>
      </c>
      <c r="C33" s="13">
        <v>25.0</v>
      </c>
      <c r="D33" s="13">
        <v>13.8</v>
      </c>
      <c r="E33" s="13">
        <v>4.0</v>
      </c>
      <c r="F33" s="5" t="s">
        <v>250</v>
      </c>
      <c r="G33" s="13">
        <v>9.0</v>
      </c>
      <c r="H33" s="13">
        <v>15.0</v>
      </c>
      <c r="I33" s="13">
        <f t="shared" si="1"/>
        <v>0.005986710947</v>
      </c>
      <c r="J33" s="13"/>
      <c r="K33" s="13">
        <f t="shared" si="2"/>
        <v>0.08980066421</v>
      </c>
      <c r="L33" s="13">
        <v>0.0</v>
      </c>
      <c r="M33" s="13">
        <v>0.0</v>
      </c>
      <c r="N33" s="13">
        <v>0.0</v>
      </c>
    </row>
    <row r="34" ht="14.25" customHeight="1">
      <c r="A34" s="27" t="s">
        <v>102</v>
      </c>
    </row>
    <row r="35" ht="14.25" customHeight="1">
      <c r="A35" s="13" t="s">
        <v>682</v>
      </c>
      <c r="B35" s="13" t="s">
        <v>483</v>
      </c>
      <c r="C35" s="13">
        <v>150.0</v>
      </c>
      <c r="D35" s="13">
        <v>230.0</v>
      </c>
      <c r="E35" s="13">
        <v>138.0</v>
      </c>
      <c r="F35" s="5" t="s">
        <v>250</v>
      </c>
      <c r="G35" s="13">
        <v>16.0</v>
      </c>
      <c r="H35" s="13">
        <v>30.0</v>
      </c>
      <c r="I35" s="13">
        <f t="shared" ref="I35:I71" si="3">(G35/100)/SQRT(1 + (H35)^2)</f>
        <v>0.005330372837</v>
      </c>
      <c r="J35" s="13"/>
      <c r="K35" s="13">
        <f t="shared" ref="K35:K44" si="4">H35 * (G35/100) / SQRT(1 + (H35)^2)</f>
        <v>0.1599111851</v>
      </c>
      <c r="L35" s="13">
        <v>0.0</v>
      </c>
      <c r="M35" s="13">
        <v>0.0</v>
      </c>
      <c r="N35" s="13">
        <v>0.0</v>
      </c>
    </row>
    <row r="36" ht="14.25" customHeight="1">
      <c r="A36" s="13" t="s">
        <v>683</v>
      </c>
      <c r="B36" s="13" t="s">
        <v>483</v>
      </c>
      <c r="C36" s="13">
        <v>150.0</v>
      </c>
      <c r="D36" s="13">
        <v>230.0</v>
      </c>
      <c r="E36" s="13">
        <v>138.0</v>
      </c>
      <c r="F36" s="5" t="s">
        <v>250</v>
      </c>
      <c r="G36" s="13">
        <v>16.0</v>
      </c>
      <c r="H36" s="13">
        <v>30.0</v>
      </c>
      <c r="I36" s="13">
        <f t="shared" si="3"/>
        <v>0.005330372837</v>
      </c>
      <c r="J36" s="13"/>
      <c r="K36" s="13">
        <f t="shared" si="4"/>
        <v>0.1599111851</v>
      </c>
      <c r="L36" s="13">
        <v>0.0</v>
      </c>
      <c r="M36" s="13">
        <v>0.0</v>
      </c>
      <c r="N36" s="13">
        <v>0.0</v>
      </c>
    </row>
    <row r="37" ht="14.25" customHeight="1">
      <c r="A37" s="13" t="s">
        <v>684</v>
      </c>
      <c r="B37" s="13" t="s">
        <v>483</v>
      </c>
      <c r="C37" s="13">
        <v>50.0</v>
      </c>
      <c r="D37" s="13">
        <v>138.0</v>
      </c>
      <c r="E37" s="13">
        <v>69.0</v>
      </c>
      <c r="F37" s="5" t="s">
        <v>250</v>
      </c>
      <c r="G37" s="13">
        <v>12.0</v>
      </c>
      <c r="H37" s="13">
        <v>20.0</v>
      </c>
      <c r="I37" s="13">
        <f t="shared" si="3"/>
        <v>0.005992514033</v>
      </c>
      <c r="J37" s="13"/>
      <c r="K37" s="13">
        <f t="shared" si="4"/>
        <v>0.1198502807</v>
      </c>
      <c r="L37" s="13">
        <v>0.0</v>
      </c>
      <c r="M37" s="13">
        <v>0.0</v>
      </c>
      <c r="N37" s="13">
        <v>0.0</v>
      </c>
    </row>
    <row r="38" ht="14.25" customHeight="1">
      <c r="A38" s="13" t="s">
        <v>685</v>
      </c>
      <c r="B38" s="13" t="s">
        <v>483</v>
      </c>
      <c r="C38" s="13">
        <v>50.0</v>
      </c>
      <c r="D38" s="13">
        <v>138.0</v>
      </c>
      <c r="E38" s="13">
        <v>69.0</v>
      </c>
      <c r="F38" s="5" t="s">
        <v>250</v>
      </c>
      <c r="G38" s="13">
        <v>12.0</v>
      </c>
      <c r="H38" s="13">
        <v>20.0</v>
      </c>
      <c r="I38" s="13">
        <f t="shared" si="3"/>
        <v>0.005992514033</v>
      </c>
      <c r="J38" s="13"/>
      <c r="K38" s="13">
        <f t="shared" si="4"/>
        <v>0.1198502807</v>
      </c>
      <c r="L38" s="13">
        <v>0.0</v>
      </c>
      <c r="M38" s="13">
        <v>0.0</v>
      </c>
      <c r="N38" s="13">
        <v>0.0</v>
      </c>
    </row>
    <row r="39" ht="14.25" customHeight="1">
      <c r="A39" s="13" t="s">
        <v>686</v>
      </c>
      <c r="B39" s="13" t="s">
        <v>490</v>
      </c>
      <c r="C39" s="13">
        <v>100.0</v>
      </c>
      <c r="D39" s="13">
        <v>138.0</v>
      </c>
      <c r="E39" s="13">
        <v>33.0</v>
      </c>
      <c r="F39" s="5" t="s">
        <v>250</v>
      </c>
      <c r="G39" s="13">
        <v>12.0</v>
      </c>
      <c r="H39" s="13">
        <v>25.0</v>
      </c>
      <c r="I39" s="13">
        <f t="shared" si="3"/>
        <v>0.004796164602</v>
      </c>
      <c r="J39" s="13"/>
      <c r="K39" s="13">
        <f t="shared" si="4"/>
        <v>0.119904115</v>
      </c>
      <c r="L39" s="13">
        <v>0.0</v>
      </c>
      <c r="M39" s="13">
        <v>0.0</v>
      </c>
      <c r="N39" s="13">
        <v>0.0</v>
      </c>
    </row>
    <row r="40" ht="14.25" customHeight="1">
      <c r="A40" s="13" t="s">
        <v>687</v>
      </c>
      <c r="B40" s="13" t="s">
        <v>490</v>
      </c>
      <c r="C40" s="13">
        <v>100.0</v>
      </c>
      <c r="D40" s="13">
        <v>138.0</v>
      </c>
      <c r="E40" s="13">
        <v>33.0</v>
      </c>
      <c r="F40" s="5" t="s">
        <v>250</v>
      </c>
      <c r="G40" s="13">
        <v>12.0</v>
      </c>
      <c r="H40" s="13">
        <v>25.0</v>
      </c>
      <c r="I40" s="13">
        <f t="shared" si="3"/>
        <v>0.004796164602</v>
      </c>
      <c r="J40" s="13"/>
      <c r="K40" s="13">
        <f t="shared" si="4"/>
        <v>0.119904115</v>
      </c>
      <c r="L40" s="13">
        <v>0.0</v>
      </c>
      <c r="M40" s="13">
        <v>0.0</v>
      </c>
      <c r="N40" s="13">
        <v>0.0</v>
      </c>
    </row>
    <row r="41" ht="14.25" customHeight="1">
      <c r="A41" s="13" t="s">
        <v>688</v>
      </c>
      <c r="B41" s="13" t="s">
        <v>247</v>
      </c>
      <c r="C41" s="13">
        <v>86.0</v>
      </c>
      <c r="D41" s="13">
        <v>230.0</v>
      </c>
      <c r="E41" s="13">
        <v>34.5</v>
      </c>
      <c r="F41" s="5" t="s">
        <v>250</v>
      </c>
      <c r="G41" s="13">
        <v>16.0</v>
      </c>
      <c r="H41" s="13">
        <v>25.0</v>
      </c>
      <c r="I41" s="13">
        <f t="shared" si="3"/>
        <v>0.006394886136</v>
      </c>
      <c r="J41" s="13"/>
      <c r="K41" s="13">
        <f t="shared" si="4"/>
        <v>0.1598721534</v>
      </c>
      <c r="L41" s="13">
        <v>0.0</v>
      </c>
      <c r="M41" s="13">
        <v>0.0</v>
      </c>
      <c r="N41" s="13">
        <v>0.0</v>
      </c>
    </row>
    <row r="42" ht="14.25" customHeight="1">
      <c r="A42" s="13" t="s">
        <v>689</v>
      </c>
      <c r="B42" s="13" t="s">
        <v>247</v>
      </c>
      <c r="C42" s="13">
        <v>86.0</v>
      </c>
      <c r="D42" s="13">
        <v>230.0</v>
      </c>
      <c r="E42" s="13">
        <v>34.5</v>
      </c>
      <c r="F42" s="5" t="s">
        <v>250</v>
      </c>
      <c r="G42" s="13">
        <v>16.0</v>
      </c>
      <c r="H42" s="13">
        <v>25.0</v>
      </c>
      <c r="I42" s="13">
        <f t="shared" si="3"/>
        <v>0.006394886136</v>
      </c>
      <c r="J42" s="13"/>
      <c r="K42" s="13">
        <f t="shared" si="4"/>
        <v>0.1598721534</v>
      </c>
      <c r="L42" s="13">
        <v>0.0</v>
      </c>
      <c r="M42" s="13">
        <v>0.0</v>
      </c>
      <c r="N42" s="13">
        <v>0.0</v>
      </c>
    </row>
    <row r="43" ht="14.25" customHeight="1">
      <c r="A43" s="13" t="s">
        <v>690</v>
      </c>
      <c r="B43" s="13" t="s">
        <v>247</v>
      </c>
      <c r="C43" s="13">
        <v>100.0</v>
      </c>
      <c r="D43" s="13">
        <v>230.0</v>
      </c>
      <c r="E43" s="13">
        <v>69.0</v>
      </c>
      <c r="F43" s="5" t="s">
        <v>250</v>
      </c>
      <c r="G43" s="13">
        <v>16.0</v>
      </c>
      <c r="H43" s="13">
        <v>25.0</v>
      </c>
      <c r="I43" s="13">
        <f t="shared" si="3"/>
        <v>0.006394886136</v>
      </c>
      <c r="J43" s="13"/>
      <c r="K43" s="13">
        <f t="shared" si="4"/>
        <v>0.1598721534</v>
      </c>
      <c r="L43" s="13">
        <v>0.0</v>
      </c>
      <c r="M43" s="13">
        <v>0.0</v>
      </c>
      <c r="N43" s="13">
        <v>0.0</v>
      </c>
    </row>
    <row r="44" ht="14.25" customHeight="1">
      <c r="A44" s="13" t="s">
        <v>691</v>
      </c>
      <c r="B44" s="13" t="s">
        <v>247</v>
      </c>
      <c r="C44" s="13">
        <v>100.0</v>
      </c>
      <c r="D44" s="13">
        <v>230.0</v>
      </c>
      <c r="E44" s="13">
        <v>69.0</v>
      </c>
      <c r="F44" s="5" t="s">
        <v>250</v>
      </c>
      <c r="G44" s="13">
        <v>16.0</v>
      </c>
      <c r="H44" s="13">
        <v>25.0</v>
      </c>
      <c r="I44" s="13">
        <f t="shared" si="3"/>
        <v>0.006394886136</v>
      </c>
      <c r="J44" s="13"/>
      <c r="K44" s="13">
        <f t="shared" si="4"/>
        <v>0.1598721534</v>
      </c>
      <c r="L44" s="13">
        <v>0.0</v>
      </c>
      <c r="M44" s="13">
        <v>0.0</v>
      </c>
      <c r="N44" s="13">
        <v>0.0</v>
      </c>
    </row>
    <row r="45" ht="14.25" customHeight="1">
      <c r="A45" s="13"/>
      <c r="B45" s="13"/>
      <c r="C45" s="13"/>
      <c r="D45" s="13"/>
      <c r="E45" s="13"/>
      <c r="F45" s="5"/>
      <c r="G45" s="13">
        <v>12.0</v>
      </c>
      <c r="H45" s="13">
        <v>20.0</v>
      </c>
      <c r="I45" s="13">
        <f t="shared" si="3"/>
        <v>0.005992514033</v>
      </c>
      <c r="J45" s="13"/>
      <c r="K45" s="13"/>
      <c r="L45" s="13"/>
      <c r="M45" s="13"/>
      <c r="N45" s="13"/>
    </row>
    <row r="46" ht="14.25" customHeight="1">
      <c r="A46" s="13" t="s">
        <v>692</v>
      </c>
      <c r="B46" s="13" t="s">
        <v>477</v>
      </c>
      <c r="C46" s="13">
        <v>300.0</v>
      </c>
      <c r="D46" s="13">
        <v>230.0</v>
      </c>
      <c r="E46" s="13">
        <v>138.0</v>
      </c>
      <c r="F46" s="5" t="s">
        <v>250</v>
      </c>
      <c r="G46" s="13">
        <v>16.0</v>
      </c>
      <c r="H46" s="13">
        <v>35.0</v>
      </c>
      <c r="I46" s="13">
        <f t="shared" si="3"/>
        <v>0.004569563824</v>
      </c>
      <c r="J46" s="13"/>
      <c r="K46" s="13">
        <f t="shared" ref="K46:K71" si="5">H46 * (G46/100) / SQRT(1 + (H46)^2)</f>
        <v>0.1599347338</v>
      </c>
      <c r="L46" s="13">
        <v>0.0</v>
      </c>
      <c r="M46" s="13">
        <v>0.0</v>
      </c>
      <c r="N46" s="13">
        <v>0.0</v>
      </c>
    </row>
    <row r="47" ht="14.25" customHeight="1">
      <c r="A47" s="13" t="s">
        <v>693</v>
      </c>
      <c r="B47" s="13" t="s">
        <v>477</v>
      </c>
      <c r="C47" s="13">
        <v>300.0</v>
      </c>
      <c r="D47" s="13">
        <v>230.0</v>
      </c>
      <c r="E47" s="13">
        <v>138.0</v>
      </c>
      <c r="F47" s="5" t="s">
        <v>250</v>
      </c>
      <c r="G47" s="13">
        <v>16.0</v>
      </c>
      <c r="H47" s="13">
        <v>35.0</v>
      </c>
      <c r="I47" s="13">
        <f t="shared" si="3"/>
        <v>0.004569563824</v>
      </c>
      <c r="J47" s="13"/>
      <c r="K47" s="13">
        <f t="shared" si="5"/>
        <v>0.1599347338</v>
      </c>
      <c r="L47" s="13">
        <v>0.0</v>
      </c>
      <c r="M47" s="13">
        <v>0.0</v>
      </c>
      <c r="N47" s="13">
        <v>0.0</v>
      </c>
    </row>
    <row r="48" ht="14.25" customHeight="1">
      <c r="A48" s="13" t="s">
        <v>694</v>
      </c>
      <c r="B48" s="13" t="s">
        <v>480</v>
      </c>
      <c r="C48" s="13">
        <v>100.0</v>
      </c>
      <c r="D48" s="13">
        <v>138.0</v>
      </c>
      <c r="E48" s="13">
        <v>69.0</v>
      </c>
      <c r="F48" s="5" t="s">
        <v>250</v>
      </c>
      <c r="G48" s="13">
        <v>12.0</v>
      </c>
      <c r="H48" s="13">
        <v>25.0</v>
      </c>
      <c r="I48" s="13">
        <f t="shared" si="3"/>
        <v>0.004796164602</v>
      </c>
      <c r="J48" s="13"/>
      <c r="K48" s="13">
        <f t="shared" si="5"/>
        <v>0.119904115</v>
      </c>
      <c r="L48" s="13">
        <v>0.0</v>
      </c>
      <c r="M48" s="13">
        <v>0.0</v>
      </c>
      <c r="N48" s="13">
        <v>0.0</v>
      </c>
    </row>
    <row r="49" ht="14.25" customHeight="1">
      <c r="A49" s="13" t="s">
        <v>695</v>
      </c>
      <c r="B49" s="13" t="s">
        <v>480</v>
      </c>
      <c r="C49" s="13">
        <v>100.0</v>
      </c>
      <c r="D49" s="13">
        <v>138.0</v>
      </c>
      <c r="E49" s="13">
        <v>69.0</v>
      </c>
      <c r="F49" s="5" t="s">
        <v>250</v>
      </c>
      <c r="G49" s="13">
        <v>12.0</v>
      </c>
      <c r="H49" s="13">
        <v>25.0</v>
      </c>
      <c r="I49" s="13">
        <f t="shared" si="3"/>
        <v>0.004796164602</v>
      </c>
      <c r="J49" s="13"/>
      <c r="K49" s="13">
        <f t="shared" si="5"/>
        <v>0.119904115</v>
      </c>
      <c r="L49" s="13">
        <v>0.0</v>
      </c>
      <c r="M49" s="13">
        <v>0.0</v>
      </c>
      <c r="N49" s="13">
        <v>0.0</v>
      </c>
    </row>
    <row r="50" ht="14.25" customHeight="1">
      <c r="A50" s="13" t="s">
        <v>696</v>
      </c>
      <c r="B50" s="13" t="s">
        <v>480</v>
      </c>
      <c r="C50" s="13">
        <v>100.0</v>
      </c>
      <c r="D50" s="13">
        <v>138.0</v>
      </c>
      <c r="E50" s="13">
        <v>69.0</v>
      </c>
      <c r="F50" s="5" t="s">
        <v>250</v>
      </c>
      <c r="G50" s="13">
        <v>12.0</v>
      </c>
      <c r="H50" s="13">
        <v>25.0</v>
      </c>
      <c r="I50" s="13">
        <f t="shared" si="3"/>
        <v>0.004796164602</v>
      </c>
      <c r="J50" s="13"/>
      <c r="K50" s="13">
        <f t="shared" si="5"/>
        <v>0.119904115</v>
      </c>
      <c r="L50" s="13">
        <v>0.0</v>
      </c>
      <c r="M50" s="13">
        <v>0.0</v>
      </c>
      <c r="N50" s="13">
        <v>0.0</v>
      </c>
    </row>
    <row r="51" ht="14.25" customHeight="1">
      <c r="A51" s="13" t="s">
        <v>697</v>
      </c>
      <c r="B51" s="13" t="s">
        <v>480</v>
      </c>
      <c r="C51" s="13">
        <v>40.0</v>
      </c>
      <c r="D51" s="13">
        <v>69.0</v>
      </c>
      <c r="E51" s="13">
        <v>6.9</v>
      </c>
      <c r="F51" s="5" t="s">
        <v>250</v>
      </c>
      <c r="G51" s="13">
        <v>9.0</v>
      </c>
      <c r="H51" s="13">
        <v>20.0</v>
      </c>
      <c r="I51" s="13">
        <f t="shared" si="3"/>
        <v>0.004494385525</v>
      </c>
      <c r="J51" s="13"/>
      <c r="K51" s="13">
        <f t="shared" si="5"/>
        <v>0.0898877105</v>
      </c>
      <c r="L51" s="13">
        <v>0.0</v>
      </c>
      <c r="M51" s="13">
        <v>0.0</v>
      </c>
      <c r="N51" s="13">
        <v>0.0</v>
      </c>
    </row>
    <row r="52" ht="14.25" customHeight="1">
      <c r="A52" s="13" t="s">
        <v>698</v>
      </c>
      <c r="B52" s="13" t="s">
        <v>480</v>
      </c>
      <c r="C52" s="13">
        <v>7.27</v>
      </c>
      <c r="D52" s="13">
        <v>138.0</v>
      </c>
      <c r="E52" s="13">
        <v>13.8</v>
      </c>
      <c r="F52" s="5" t="s">
        <v>250</v>
      </c>
      <c r="G52" s="13">
        <v>12.0</v>
      </c>
      <c r="H52" s="13">
        <v>10.0</v>
      </c>
      <c r="I52" s="13">
        <f t="shared" si="3"/>
        <v>0.01194044628</v>
      </c>
      <c r="J52" s="13"/>
      <c r="K52" s="13">
        <f t="shared" si="5"/>
        <v>0.1194044628</v>
      </c>
      <c r="L52" s="13">
        <v>0.0</v>
      </c>
      <c r="M52" s="13">
        <v>0.0</v>
      </c>
      <c r="N52" s="13">
        <v>0.0</v>
      </c>
    </row>
    <row r="53" ht="14.25" customHeight="1">
      <c r="A53" s="13" t="s">
        <v>699</v>
      </c>
      <c r="B53" s="13" t="s">
        <v>109</v>
      </c>
      <c r="C53" s="13">
        <v>30.0</v>
      </c>
      <c r="D53" s="13">
        <v>138.0</v>
      </c>
      <c r="E53" s="13">
        <v>69.0</v>
      </c>
      <c r="F53" s="5" t="s">
        <v>250</v>
      </c>
      <c r="G53" s="13">
        <v>12.0</v>
      </c>
      <c r="H53" s="13">
        <v>15.0</v>
      </c>
      <c r="I53" s="13">
        <f t="shared" si="3"/>
        <v>0.007982281263</v>
      </c>
      <c r="J53" s="13"/>
      <c r="K53" s="13">
        <f t="shared" si="5"/>
        <v>0.1197342189</v>
      </c>
      <c r="L53" s="13">
        <v>0.0</v>
      </c>
      <c r="M53" s="13">
        <v>0.0</v>
      </c>
      <c r="N53" s="13">
        <v>0.0</v>
      </c>
    </row>
    <row r="54" ht="14.25" customHeight="1">
      <c r="A54" s="13" t="s">
        <v>700</v>
      </c>
      <c r="B54" s="13" t="s">
        <v>109</v>
      </c>
      <c r="C54" s="13">
        <v>50.0</v>
      </c>
      <c r="D54" s="13">
        <v>138.0</v>
      </c>
      <c r="E54" s="13">
        <v>69.0</v>
      </c>
      <c r="F54" s="5" t="s">
        <v>250</v>
      </c>
      <c r="G54" s="13">
        <v>12.0</v>
      </c>
      <c r="H54" s="13">
        <v>20.0</v>
      </c>
      <c r="I54" s="13">
        <f t="shared" si="3"/>
        <v>0.005992514033</v>
      </c>
      <c r="J54" s="13"/>
      <c r="K54" s="13">
        <f t="shared" si="5"/>
        <v>0.1198502807</v>
      </c>
      <c r="L54" s="13">
        <v>0.0</v>
      </c>
      <c r="M54" s="13">
        <v>0.0</v>
      </c>
      <c r="N54" s="13">
        <v>0.0</v>
      </c>
    </row>
    <row r="55" ht="14.25" customHeight="1">
      <c r="A55" s="13" t="s">
        <v>701</v>
      </c>
      <c r="B55" s="13" t="s">
        <v>109</v>
      </c>
      <c r="C55" s="13">
        <v>100.0</v>
      </c>
      <c r="D55" s="13">
        <v>138.0</v>
      </c>
      <c r="E55" s="13">
        <v>69.0</v>
      </c>
      <c r="F55" s="5" t="s">
        <v>250</v>
      </c>
      <c r="G55" s="13">
        <v>12.0</v>
      </c>
      <c r="H55" s="13">
        <v>25.0</v>
      </c>
      <c r="I55" s="13">
        <f t="shared" si="3"/>
        <v>0.004796164602</v>
      </c>
      <c r="J55" s="13"/>
      <c r="K55" s="13">
        <f t="shared" si="5"/>
        <v>0.119904115</v>
      </c>
      <c r="L55" s="13">
        <v>0.0</v>
      </c>
      <c r="M55" s="13">
        <v>0.0</v>
      </c>
      <c r="N55" s="13">
        <v>0.0</v>
      </c>
    </row>
    <row r="56" ht="14.25" customHeight="1">
      <c r="A56" s="13" t="s">
        <v>702</v>
      </c>
      <c r="B56" s="13" t="s">
        <v>502</v>
      </c>
      <c r="C56" s="13">
        <v>30.0</v>
      </c>
      <c r="D56" s="13">
        <v>138.0</v>
      </c>
      <c r="E56" s="13">
        <v>13.8</v>
      </c>
      <c r="F56" s="5" t="s">
        <v>250</v>
      </c>
      <c r="G56" s="13">
        <v>12.0</v>
      </c>
      <c r="H56" s="13">
        <v>15.0</v>
      </c>
      <c r="I56" s="13">
        <f t="shared" si="3"/>
        <v>0.007982281263</v>
      </c>
      <c r="J56" s="13"/>
      <c r="K56" s="13">
        <f t="shared" si="5"/>
        <v>0.1197342189</v>
      </c>
      <c r="L56" s="13">
        <v>0.0</v>
      </c>
      <c r="M56" s="13">
        <v>0.0</v>
      </c>
      <c r="N56" s="13">
        <v>0.0</v>
      </c>
    </row>
    <row r="57" ht="14.25" customHeight="1">
      <c r="A57" s="13" t="s">
        <v>703</v>
      </c>
      <c r="B57" s="13" t="s">
        <v>502</v>
      </c>
      <c r="C57" s="13">
        <v>30.0</v>
      </c>
      <c r="D57" s="13">
        <v>138.0</v>
      </c>
      <c r="E57" s="13">
        <v>13.8</v>
      </c>
      <c r="F57" s="5" t="s">
        <v>250</v>
      </c>
      <c r="G57" s="13">
        <v>12.0</v>
      </c>
      <c r="H57" s="13">
        <v>15.0</v>
      </c>
      <c r="I57" s="13">
        <f t="shared" si="3"/>
        <v>0.007982281263</v>
      </c>
      <c r="J57" s="13"/>
      <c r="K57" s="13">
        <f t="shared" si="5"/>
        <v>0.1197342189</v>
      </c>
      <c r="L57" s="13">
        <v>0.0</v>
      </c>
      <c r="M57" s="13">
        <v>0.0</v>
      </c>
      <c r="N57" s="13">
        <v>0.0</v>
      </c>
    </row>
    <row r="58" ht="14.25" customHeight="1">
      <c r="A58" s="13" t="s">
        <v>704</v>
      </c>
      <c r="B58" s="13" t="s">
        <v>509</v>
      </c>
      <c r="C58" s="13">
        <v>47.0</v>
      </c>
      <c r="D58" s="13">
        <v>138.0</v>
      </c>
      <c r="E58" s="13">
        <v>13.8</v>
      </c>
      <c r="F58" s="5" t="s">
        <v>250</v>
      </c>
      <c r="G58" s="13">
        <v>12.0</v>
      </c>
      <c r="H58" s="13">
        <v>20.0</v>
      </c>
      <c r="I58" s="13">
        <f t="shared" si="3"/>
        <v>0.005992514033</v>
      </c>
      <c r="J58" s="13"/>
      <c r="K58" s="13">
        <f t="shared" si="5"/>
        <v>0.1198502807</v>
      </c>
      <c r="L58" s="13">
        <v>0.0</v>
      </c>
      <c r="M58" s="13">
        <v>0.0</v>
      </c>
      <c r="N58" s="13">
        <v>0.0</v>
      </c>
    </row>
    <row r="59" ht="14.25" customHeight="1">
      <c r="A59" s="13" t="s">
        <v>705</v>
      </c>
      <c r="B59" s="13" t="s">
        <v>509</v>
      </c>
      <c r="C59" s="13">
        <v>47.0</v>
      </c>
      <c r="D59" s="13">
        <v>138.0</v>
      </c>
      <c r="E59" s="13">
        <v>13.8</v>
      </c>
      <c r="F59" s="5" t="s">
        <v>250</v>
      </c>
      <c r="G59" s="13">
        <v>12.0</v>
      </c>
      <c r="H59" s="13">
        <v>20.0</v>
      </c>
      <c r="I59" s="13">
        <f t="shared" si="3"/>
        <v>0.005992514033</v>
      </c>
      <c r="J59" s="13"/>
      <c r="K59" s="13">
        <f t="shared" si="5"/>
        <v>0.1198502807</v>
      </c>
      <c r="L59" s="13">
        <v>0.0</v>
      </c>
      <c r="M59" s="13">
        <v>0.0</v>
      </c>
      <c r="N59" s="13">
        <v>0.0</v>
      </c>
    </row>
    <row r="60" ht="14.25" customHeight="1">
      <c r="A60" s="13" t="s">
        <v>706</v>
      </c>
      <c r="B60" s="13" t="s">
        <v>509</v>
      </c>
      <c r="C60" s="13">
        <v>47.0</v>
      </c>
      <c r="D60" s="13">
        <v>138.0</v>
      </c>
      <c r="E60" s="13">
        <v>13.8</v>
      </c>
      <c r="F60" s="5" t="s">
        <v>250</v>
      </c>
      <c r="G60" s="13">
        <v>12.0</v>
      </c>
      <c r="H60" s="13">
        <v>20.0</v>
      </c>
      <c r="I60" s="13">
        <f t="shared" si="3"/>
        <v>0.005992514033</v>
      </c>
      <c r="J60" s="13"/>
      <c r="K60" s="13">
        <f t="shared" si="5"/>
        <v>0.1198502807</v>
      </c>
      <c r="L60" s="13">
        <v>0.0</v>
      </c>
      <c r="M60" s="13">
        <v>0.0</v>
      </c>
      <c r="N60" s="13">
        <v>0.0</v>
      </c>
    </row>
    <row r="61" ht="14.25" customHeight="1">
      <c r="A61" s="13" t="s">
        <v>707</v>
      </c>
      <c r="B61" s="13" t="s">
        <v>512</v>
      </c>
      <c r="C61" s="13">
        <v>25.0</v>
      </c>
      <c r="D61" s="13">
        <v>138.0</v>
      </c>
      <c r="E61" s="13">
        <v>13.8</v>
      </c>
      <c r="F61" s="5" t="s">
        <v>250</v>
      </c>
      <c r="G61" s="13">
        <v>12.0</v>
      </c>
      <c r="H61" s="13">
        <v>15.0</v>
      </c>
      <c r="I61" s="13">
        <f t="shared" si="3"/>
        <v>0.007982281263</v>
      </c>
      <c r="J61" s="13"/>
      <c r="K61" s="13">
        <f t="shared" si="5"/>
        <v>0.1197342189</v>
      </c>
      <c r="L61" s="13">
        <v>0.0</v>
      </c>
      <c r="M61" s="13">
        <v>0.0</v>
      </c>
      <c r="N61" s="13">
        <v>0.0</v>
      </c>
    </row>
    <row r="62" ht="14.25" customHeight="1">
      <c r="A62" s="13" t="s">
        <v>708</v>
      </c>
      <c r="B62" s="13" t="s">
        <v>512</v>
      </c>
      <c r="C62" s="13">
        <v>25.0</v>
      </c>
      <c r="D62" s="13">
        <v>138.0</v>
      </c>
      <c r="E62" s="13">
        <v>13.8</v>
      </c>
      <c r="F62" s="5" t="s">
        <v>250</v>
      </c>
      <c r="G62" s="13">
        <v>12.0</v>
      </c>
      <c r="H62" s="13">
        <v>15.0</v>
      </c>
      <c r="I62" s="13">
        <f t="shared" si="3"/>
        <v>0.007982281263</v>
      </c>
      <c r="J62" s="13"/>
      <c r="K62" s="13">
        <f t="shared" si="5"/>
        <v>0.1197342189</v>
      </c>
      <c r="L62" s="13">
        <v>0.0</v>
      </c>
      <c r="M62" s="13">
        <v>0.0</v>
      </c>
      <c r="N62" s="13">
        <v>0.0</v>
      </c>
    </row>
    <row r="63" ht="14.25" customHeight="1">
      <c r="A63" s="13" t="s">
        <v>709</v>
      </c>
      <c r="B63" s="13" t="s">
        <v>512</v>
      </c>
      <c r="C63" s="13">
        <v>25.0</v>
      </c>
      <c r="D63" s="13">
        <v>138.0</v>
      </c>
      <c r="E63" s="13">
        <v>13.8</v>
      </c>
      <c r="F63" s="5" t="s">
        <v>250</v>
      </c>
      <c r="G63" s="13">
        <v>12.0</v>
      </c>
      <c r="H63" s="13">
        <v>15.0</v>
      </c>
      <c r="I63" s="13">
        <f t="shared" si="3"/>
        <v>0.007982281263</v>
      </c>
      <c r="J63" s="13"/>
      <c r="K63" s="13">
        <f t="shared" si="5"/>
        <v>0.1197342189</v>
      </c>
      <c r="L63" s="13">
        <v>0.0</v>
      </c>
      <c r="M63" s="13">
        <v>0.0</v>
      </c>
      <c r="N63" s="13">
        <v>0.0</v>
      </c>
    </row>
    <row r="64" ht="14.25" customHeight="1">
      <c r="A64" s="13" t="s">
        <v>710</v>
      </c>
      <c r="B64" s="13" t="s">
        <v>512</v>
      </c>
      <c r="C64" s="13">
        <v>12.5</v>
      </c>
      <c r="D64" s="13">
        <v>138.0</v>
      </c>
      <c r="E64" s="13">
        <v>34.5</v>
      </c>
      <c r="F64" s="5" t="s">
        <v>250</v>
      </c>
      <c r="G64" s="13">
        <v>12.0</v>
      </c>
      <c r="H64" s="13">
        <v>10.0</v>
      </c>
      <c r="I64" s="13">
        <f t="shared" si="3"/>
        <v>0.01194044628</v>
      </c>
      <c r="J64" s="13"/>
      <c r="K64" s="13">
        <f t="shared" si="5"/>
        <v>0.1194044628</v>
      </c>
      <c r="L64" s="13">
        <v>0.0</v>
      </c>
      <c r="M64" s="13">
        <v>0.0</v>
      </c>
      <c r="N64" s="13">
        <v>0.0</v>
      </c>
    </row>
    <row r="65" ht="14.25" customHeight="1">
      <c r="A65" s="13" t="s">
        <v>711</v>
      </c>
      <c r="B65" s="13" t="s">
        <v>512</v>
      </c>
      <c r="C65" s="13">
        <v>68.0</v>
      </c>
      <c r="D65" s="13">
        <v>138.0</v>
      </c>
      <c r="E65" s="13">
        <v>13.8</v>
      </c>
      <c r="F65" s="5" t="s">
        <v>250</v>
      </c>
      <c r="G65" s="13">
        <v>12.0</v>
      </c>
      <c r="H65" s="13">
        <v>20.0</v>
      </c>
      <c r="I65" s="13">
        <f t="shared" si="3"/>
        <v>0.005992514033</v>
      </c>
      <c r="J65" s="13"/>
      <c r="K65" s="13">
        <f t="shared" si="5"/>
        <v>0.1198502807</v>
      </c>
      <c r="L65" s="13">
        <v>0.0</v>
      </c>
      <c r="M65" s="13">
        <v>0.0</v>
      </c>
      <c r="N65" s="13">
        <v>0.0</v>
      </c>
    </row>
    <row r="66" ht="14.25" customHeight="1">
      <c r="A66" s="13" t="s">
        <v>712</v>
      </c>
      <c r="B66" s="13" t="s">
        <v>512</v>
      </c>
      <c r="C66" s="13">
        <v>25.0</v>
      </c>
      <c r="D66" s="13">
        <v>138.0</v>
      </c>
      <c r="E66" s="13">
        <v>13.8</v>
      </c>
      <c r="F66" s="5" t="s">
        <v>250</v>
      </c>
      <c r="G66" s="13">
        <v>12.0</v>
      </c>
      <c r="H66" s="13">
        <v>15.0</v>
      </c>
      <c r="I66" s="13">
        <f t="shared" si="3"/>
        <v>0.007982281263</v>
      </c>
      <c r="J66" s="13"/>
      <c r="K66" s="13">
        <f t="shared" si="5"/>
        <v>0.1197342189</v>
      </c>
      <c r="L66" s="13">
        <v>0.0</v>
      </c>
      <c r="M66" s="13">
        <v>0.0</v>
      </c>
      <c r="N66" s="13">
        <v>0.0</v>
      </c>
    </row>
    <row r="67" ht="14.25" customHeight="1">
      <c r="A67" s="13" t="s">
        <v>713</v>
      </c>
      <c r="B67" s="13" t="s">
        <v>205</v>
      </c>
      <c r="C67" s="13">
        <v>50.0</v>
      </c>
      <c r="D67" s="13">
        <v>138.0</v>
      </c>
      <c r="E67" s="13">
        <v>69.0</v>
      </c>
      <c r="F67" s="5" t="s">
        <v>250</v>
      </c>
      <c r="G67" s="13">
        <v>12.0</v>
      </c>
      <c r="H67" s="13">
        <v>20.0</v>
      </c>
      <c r="I67" s="13">
        <f t="shared" si="3"/>
        <v>0.005992514033</v>
      </c>
      <c r="J67" s="13"/>
      <c r="K67" s="13">
        <f t="shared" si="5"/>
        <v>0.1198502807</v>
      </c>
      <c r="L67" s="13">
        <v>0.0</v>
      </c>
      <c r="M67" s="13">
        <v>0.0</v>
      </c>
      <c r="N67" s="13">
        <v>0.0</v>
      </c>
    </row>
    <row r="68" ht="14.25" customHeight="1">
      <c r="A68" s="13" t="s">
        <v>714</v>
      </c>
      <c r="B68" s="13" t="s">
        <v>205</v>
      </c>
      <c r="C68" s="13">
        <v>50.0</v>
      </c>
      <c r="D68" s="13">
        <v>138.0</v>
      </c>
      <c r="E68" s="13">
        <v>69.0</v>
      </c>
      <c r="F68" s="5" t="s">
        <v>250</v>
      </c>
      <c r="G68" s="13">
        <v>12.0</v>
      </c>
      <c r="H68" s="13">
        <v>20.0</v>
      </c>
      <c r="I68" s="13">
        <f t="shared" si="3"/>
        <v>0.005992514033</v>
      </c>
      <c r="J68" s="13"/>
      <c r="K68" s="13">
        <f t="shared" si="5"/>
        <v>0.1198502807</v>
      </c>
      <c r="L68" s="13">
        <v>0.0</v>
      </c>
      <c r="M68" s="13">
        <v>0.0</v>
      </c>
      <c r="N68" s="13">
        <v>0.0</v>
      </c>
    </row>
    <row r="69" ht="14.25" customHeight="1">
      <c r="A69" s="13" t="s">
        <v>715</v>
      </c>
      <c r="B69" s="13" t="s">
        <v>205</v>
      </c>
      <c r="C69" s="13">
        <v>50.0</v>
      </c>
      <c r="D69" s="13">
        <v>138.0</v>
      </c>
      <c r="E69" s="13">
        <v>69.0</v>
      </c>
      <c r="F69" s="5" t="s">
        <v>250</v>
      </c>
      <c r="G69" s="13">
        <v>12.0</v>
      </c>
      <c r="H69" s="13">
        <v>20.0</v>
      </c>
      <c r="I69" s="13">
        <f t="shared" si="3"/>
        <v>0.005992514033</v>
      </c>
      <c r="J69" s="13"/>
      <c r="K69" s="13">
        <f t="shared" si="5"/>
        <v>0.1198502807</v>
      </c>
      <c r="L69" s="13">
        <v>0.0</v>
      </c>
      <c r="M69" s="13">
        <v>0.0</v>
      </c>
      <c r="N69" s="13">
        <v>0.0</v>
      </c>
    </row>
    <row r="70" ht="14.25" customHeight="1">
      <c r="A70" s="13" t="s">
        <v>716</v>
      </c>
      <c r="B70" s="13" t="s">
        <v>504</v>
      </c>
      <c r="C70" s="13">
        <v>50.0</v>
      </c>
      <c r="D70" s="13">
        <v>138.0</v>
      </c>
      <c r="E70" s="13">
        <v>69.0</v>
      </c>
      <c r="F70" s="5" t="s">
        <v>250</v>
      </c>
      <c r="G70" s="13">
        <v>12.0</v>
      </c>
      <c r="H70" s="13">
        <v>20.0</v>
      </c>
      <c r="I70" s="13">
        <f t="shared" si="3"/>
        <v>0.005992514033</v>
      </c>
      <c r="J70" s="13"/>
      <c r="K70" s="13">
        <f t="shared" si="5"/>
        <v>0.1198502807</v>
      </c>
      <c r="L70" s="13">
        <v>0.0</v>
      </c>
      <c r="M70" s="13">
        <v>0.0</v>
      </c>
      <c r="N70" s="13">
        <v>0.0</v>
      </c>
    </row>
    <row r="71" ht="14.25" customHeight="1">
      <c r="A71" s="13" t="s">
        <v>717</v>
      </c>
      <c r="B71" s="13" t="s">
        <v>504</v>
      </c>
      <c r="C71" s="13">
        <v>50.0</v>
      </c>
      <c r="D71" s="13">
        <v>138.0</v>
      </c>
      <c r="E71" s="13">
        <v>69.0</v>
      </c>
      <c r="F71" s="5" t="s">
        <v>250</v>
      </c>
      <c r="G71" s="13">
        <v>12.0</v>
      </c>
      <c r="H71" s="13">
        <v>20.0</v>
      </c>
      <c r="I71" s="13">
        <f t="shared" si="3"/>
        <v>0.005992514033</v>
      </c>
      <c r="J71" s="13"/>
      <c r="K71" s="13">
        <f t="shared" si="5"/>
        <v>0.1198502807</v>
      </c>
      <c r="L71" s="13">
        <v>0.0</v>
      </c>
      <c r="M71" s="13">
        <v>0.0</v>
      </c>
      <c r="N71" s="13">
        <v>0.0</v>
      </c>
    </row>
    <row r="72" ht="14.25" customHeight="1">
      <c r="A72" s="27" t="s">
        <v>248</v>
      </c>
    </row>
    <row r="73" ht="14.25" customHeight="1">
      <c r="A73" s="13" t="s">
        <v>718</v>
      </c>
      <c r="B73" s="13" t="s">
        <v>580</v>
      </c>
      <c r="C73" s="13">
        <v>150.0</v>
      </c>
      <c r="D73" s="13">
        <v>230.0</v>
      </c>
      <c r="E73" s="13">
        <v>69.0</v>
      </c>
      <c r="F73" s="5" t="s">
        <v>250</v>
      </c>
      <c r="G73" s="13">
        <v>16.0</v>
      </c>
      <c r="H73" s="13">
        <v>30.0</v>
      </c>
      <c r="I73" s="13">
        <f t="shared" ref="I73:I121" si="6">(G73/100)/SQRT(1 + (H73)^2)</f>
        <v>0.005330372837</v>
      </c>
      <c r="J73" s="13"/>
      <c r="K73" s="13">
        <f t="shared" ref="K73:K121" si="7">H73 * (G73/100) / SQRT(1 + (H73)^2)</f>
        <v>0.1599111851</v>
      </c>
      <c r="L73" s="13">
        <v>0.0</v>
      </c>
      <c r="M73" s="13">
        <v>0.0</v>
      </c>
      <c r="N73" s="13">
        <v>0.0</v>
      </c>
    </row>
    <row r="74" ht="14.25" customHeight="1">
      <c r="A74" s="13" t="s">
        <v>719</v>
      </c>
      <c r="B74" s="13" t="s">
        <v>580</v>
      </c>
      <c r="C74" s="13">
        <v>100.0</v>
      </c>
      <c r="D74" s="13">
        <v>230.0</v>
      </c>
      <c r="E74" s="13">
        <v>69.0</v>
      </c>
      <c r="F74" s="5" t="s">
        <v>250</v>
      </c>
      <c r="G74" s="13">
        <v>16.0</v>
      </c>
      <c r="H74" s="13">
        <v>25.0</v>
      </c>
      <c r="I74" s="13">
        <f t="shared" si="6"/>
        <v>0.006394886136</v>
      </c>
      <c r="J74" s="13"/>
      <c r="K74" s="13">
        <f t="shared" si="7"/>
        <v>0.1598721534</v>
      </c>
      <c r="L74" s="13">
        <v>0.0</v>
      </c>
      <c r="M74" s="13">
        <v>0.0</v>
      </c>
      <c r="N74" s="13">
        <v>0.0</v>
      </c>
    </row>
    <row r="75" ht="14.25" customHeight="1">
      <c r="A75" s="13" t="s">
        <v>720</v>
      </c>
      <c r="B75" s="13" t="s">
        <v>570</v>
      </c>
      <c r="C75" s="13">
        <v>150.0</v>
      </c>
      <c r="D75" s="13">
        <v>230.0</v>
      </c>
      <c r="E75" s="13">
        <v>138.0</v>
      </c>
      <c r="F75" s="5" t="s">
        <v>250</v>
      </c>
      <c r="G75" s="13">
        <v>16.0</v>
      </c>
      <c r="H75" s="13">
        <v>30.0</v>
      </c>
      <c r="I75" s="13">
        <f t="shared" si="6"/>
        <v>0.005330372837</v>
      </c>
      <c r="J75" s="13"/>
      <c r="K75" s="13">
        <f t="shared" si="7"/>
        <v>0.1599111851</v>
      </c>
      <c r="L75" s="13">
        <v>0.0</v>
      </c>
      <c r="M75" s="13">
        <v>0.0</v>
      </c>
      <c r="N75" s="13">
        <v>0.0</v>
      </c>
    </row>
    <row r="76" ht="14.25" customHeight="1">
      <c r="A76" s="13" t="s">
        <v>721</v>
      </c>
      <c r="B76" s="13" t="s">
        <v>570</v>
      </c>
      <c r="C76" s="13">
        <v>150.0</v>
      </c>
      <c r="D76" s="13">
        <v>230.0</v>
      </c>
      <c r="E76" s="13">
        <v>138.0</v>
      </c>
      <c r="F76" s="5" t="s">
        <v>250</v>
      </c>
      <c r="G76" s="13">
        <v>16.0</v>
      </c>
      <c r="H76" s="13">
        <v>30.0</v>
      </c>
      <c r="I76" s="13">
        <f t="shared" si="6"/>
        <v>0.005330372837</v>
      </c>
      <c r="J76" s="13"/>
      <c r="K76" s="13">
        <f t="shared" si="7"/>
        <v>0.1599111851</v>
      </c>
      <c r="L76" s="13">
        <v>0.0</v>
      </c>
      <c r="M76" s="13">
        <v>0.0</v>
      </c>
      <c r="N76" s="13">
        <v>0.0</v>
      </c>
    </row>
    <row r="77" ht="14.25" customHeight="1">
      <c r="A77" s="13" t="s">
        <v>722</v>
      </c>
      <c r="B77" s="13" t="s">
        <v>570</v>
      </c>
      <c r="C77" s="13">
        <v>100.0</v>
      </c>
      <c r="D77" s="13">
        <v>138.0</v>
      </c>
      <c r="E77" s="13">
        <v>69.0</v>
      </c>
      <c r="F77" s="5" t="s">
        <v>250</v>
      </c>
      <c r="G77" s="13">
        <v>12.0</v>
      </c>
      <c r="H77" s="13">
        <v>25.0</v>
      </c>
      <c r="I77" s="13">
        <f t="shared" si="6"/>
        <v>0.004796164602</v>
      </c>
      <c r="J77" s="13"/>
      <c r="K77" s="13">
        <f t="shared" si="7"/>
        <v>0.119904115</v>
      </c>
      <c r="L77" s="13">
        <v>0.0</v>
      </c>
      <c r="M77" s="13">
        <v>0.0</v>
      </c>
      <c r="N77" s="13">
        <v>0.0</v>
      </c>
    </row>
    <row r="78" ht="14.25" customHeight="1">
      <c r="A78" s="13" t="s">
        <v>723</v>
      </c>
      <c r="B78" s="13" t="s">
        <v>570</v>
      </c>
      <c r="C78" s="13">
        <v>100.0</v>
      </c>
      <c r="D78" s="13">
        <v>138.0</v>
      </c>
      <c r="E78" s="13">
        <v>69.0</v>
      </c>
      <c r="F78" s="5" t="s">
        <v>250</v>
      </c>
      <c r="G78" s="13">
        <v>12.0</v>
      </c>
      <c r="H78" s="13">
        <v>25.0</v>
      </c>
      <c r="I78" s="13">
        <f t="shared" si="6"/>
        <v>0.004796164602</v>
      </c>
      <c r="J78" s="13"/>
      <c r="K78" s="13">
        <f t="shared" si="7"/>
        <v>0.119904115</v>
      </c>
      <c r="L78" s="13">
        <v>0.0</v>
      </c>
      <c r="M78" s="13">
        <v>0.0</v>
      </c>
      <c r="N78" s="13">
        <v>0.0</v>
      </c>
    </row>
    <row r="79" ht="14.25" customHeight="1">
      <c r="A79" s="13" t="s">
        <v>724</v>
      </c>
      <c r="B79" s="13" t="s">
        <v>570</v>
      </c>
      <c r="C79" s="13">
        <v>150.0</v>
      </c>
      <c r="D79" s="13">
        <v>230.0</v>
      </c>
      <c r="E79" s="13">
        <v>138.0</v>
      </c>
      <c r="F79" s="5" t="s">
        <v>250</v>
      </c>
      <c r="G79" s="13">
        <v>16.0</v>
      </c>
      <c r="H79" s="13">
        <v>30.0</v>
      </c>
      <c r="I79" s="13">
        <f t="shared" si="6"/>
        <v>0.005330372837</v>
      </c>
      <c r="J79" s="13"/>
      <c r="K79" s="13">
        <f t="shared" si="7"/>
        <v>0.1599111851</v>
      </c>
      <c r="L79" s="13">
        <v>0.0</v>
      </c>
      <c r="M79" s="13">
        <v>0.0</v>
      </c>
      <c r="N79" s="13">
        <v>0.0</v>
      </c>
    </row>
    <row r="80" ht="14.25" customHeight="1">
      <c r="A80" s="13" t="s">
        <v>725</v>
      </c>
      <c r="B80" s="13" t="s">
        <v>570</v>
      </c>
      <c r="C80" s="13">
        <v>150.0</v>
      </c>
      <c r="D80" s="13">
        <v>230.0</v>
      </c>
      <c r="E80" s="13">
        <v>138.0</v>
      </c>
      <c r="F80" s="5" t="s">
        <v>250</v>
      </c>
      <c r="G80" s="13">
        <v>16.0</v>
      </c>
      <c r="H80" s="13">
        <v>30.0</v>
      </c>
      <c r="I80" s="13">
        <f t="shared" si="6"/>
        <v>0.005330372837</v>
      </c>
      <c r="J80" s="13"/>
      <c r="K80" s="13">
        <f t="shared" si="7"/>
        <v>0.1599111851</v>
      </c>
      <c r="L80" s="13">
        <v>0.0</v>
      </c>
      <c r="M80" s="13">
        <v>0.0</v>
      </c>
      <c r="N80" s="13">
        <v>0.0</v>
      </c>
    </row>
    <row r="81" ht="14.25" customHeight="1">
      <c r="A81" s="13" t="s">
        <v>726</v>
      </c>
      <c r="B81" s="13" t="s">
        <v>528</v>
      </c>
      <c r="C81" s="13">
        <v>300.0</v>
      </c>
      <c r="D81" s="13">
        <v>230.0</v>
      </c>
      <c r="E81" s="13">
        <v>138.0</v>
      </c>
      <c r="F81" s="5" t="s">
        <v>250</v>
      </c>
      <c r="G81" s="13">
        <v>16.0</v>
      </c>
      <c r="H81" s="13">
        <v>35.0</v>
      </c>
      <c r="I81" s="13">
        <f t="shared" si="6"/>
        <v>0.004569563824</v>
      </c>
      <c r="J81" s="13"/>
      <c r="K81" s="13">
        <f t="shared" si="7"/>
        <v>0.1599347338</v>
      </c>
      <c r="L81" s="13">
        <v>0.0</v>
      </c>
      <c r="M81" s="13">
        <v>0.0</v>
      </c>
      <c r="N81" s="13">
        <v>0.0</v>
      </c>
    </row>
    <row r="82" ht="14.25" customHeight="1">
      <c r="A82" s="13" t="s">
        <v>727</v>
      </c>
      <c r="B82" s="13" t="s">
        <v>528</v>
      </c>
      <c r="C82" s="13">
        <v>300.0</v>
      </c>
      <c r="D82" s="13">
        <v>230.0</v>
      </c>
      <c r="E82" s="13">
        <v>138.0</v>
      </c>
      <c r="F82" s="5" t="s">
        <v>250</v>
      </c>
      <c r="G82" s="13">
        <v>16.0</v>
      </c>
      <c r="H82" s="13">
        <v>35.0</v>
      </c>
      <c r="I82" s="13">
        <f t="shared" si="6"/>
        <v>0.004569563824</v>
      </c>
      <c r="J82" s="13"/>
      <c r="K82" s="13">
        <f t="shared" si="7"/>
        <v>0.1599347338</v>
      </c>
      <c r="L82" s="13">
        <v>0.0</v>
      </c>
      <c r="M82" s="13">
        <v>0.0</v>
      </c>
      <c r="N82" s="13">
        <v>0.0</v>
      </c>
    </row>
    <row r="83" ht="14.25" customHeight="1">
      <c r="A83" s="13" t="s">
        <v>728</v>
      </c>
      <c r="B83" s="13" t="s">
        <v>528</v>
      </c>
      <c r="C83" s="13">
        <v>300.0</v>
      </c>
      <c r="D83" s="13">
        <v>230.0</v>
      </c>
      <c r="E83" s="13">
        <v>138.0</v>
      </c>
      <c r="F83" s="5" t="s">
        <v>250</v>
      </c>
      <c r="G83" s="13">
        <v>16.0</v>
      </c>
      <c r="H83" s="13">
        <v>35.0</v>
      </c>
      <c r="I83" s="13">
        <f t="shared" si="6"/>
        <v>0.004569563824</v>
      </c>
      <c r="J83" s="13"/>
      <c r="K83" s="13">
        <f t="shared" si="7"/>
        <v>0.1599347338</v>
      </c>
      <c r="L83" s="13">
        <v>0.0</v>
      </c>
      <c r="M83" s="13">
        <v>0.0</v>
      </c>
      <c r="N83" s="13">
        <v>0.0</v>
      </c>
    </row>
    <row r="84" ht="14.25" customHeight="1">
      <c r="A84" s="13" t="s">
        <v>729</v>
      </c>
      <c r="B84" s="13" t="s">
        <v>528</v>
      </c>
      <c r="C84" s="13">
        <v>100.0</v>
      </c>
      <c r="D84" s="13">
        <v>138.0</v>
      </c>
      <c r="E84" s="13">
        <v>69.0</v>
      </c>
      <c r="F84" s="5" t="s">
        <v>250</v>
      </c>
      <c r="G84" s="13">
        <v>12.0</v>
      </c>
      <c r="H84" s="13">
        <v>25.0</v>
      </c>
      <c r="I84" s="13">
        <f t="shared" si="6"/>
        <v>0.004796164602</v>
      </c>
      <c r="J84" s="13"/>
      <c r="K84" s="13">
        <f t="shared" si="7"/>
        <v>0.119904115</v>
      </c>
      <c r="L84" s="13">
        <v>0.0</v>
      </c>
      <c r="M84" s="13">
        <v>0.0</v>
      </c>
      <c r="N84" s="13">
        <v>0.0</v>
      </c>
    </row>
    <row r="85" ht="14.25" customHeight="1">
      <c r="A85" s="13" t="s">
        <v>730</v>
      </c>
      <c r="B85" s="13" t="s">
        <v>528</v>
      </c>
      <c r="C85" s="13">
        <v>100.0</v>
      </c>
      <c r="D85" s="13">
        <v>138.0</v>
      </c>
      <c r="E85" s="13">
        <v>69.0</v>
      </c>
      <c r="F85" s="5" t="s">
        <v>250</v>
      </c>
      <c r="G85" s="13">
        <v>12.0</v>
      </c>
      <c r="H85" s="13">
        <v>25.0</v>
      </c>
      <c r="I85" s="13">
        <f t="shared" si="6"/>
        <v>0.004796164602</v>
      </c>
      <c r="J85" s="13"/>
      <c r="K85" s="13">
        <f t="shared" si="7"/>
        <v>0.119904115</v>
      </c>
      <c r="L85" s="13">
        <v>0.0</v>
      </c>
      <c r="M85" s="13">
        <v>0.0</v>
      </c>
      <c r="N85" s="13">
        <v>0.0</v>
      </c>
    </row>
    <row r="86" ht="14.25" customHeight="1">
      <c r="A86" s="13" t="s">
        <v>731</v>
      </c>
      <c r="B86" s="13" t="s">
        <v>528</v>
      </c>
      <c r="C86" s="13">
        <v>100.0</v>
      </c>
      <c r="D86" s="13">
        <v>138.0</v>
      </c>
      <c r="E86" s="13">
        <v>69.0</v>
      </c>
      <c r="F86" s="5" t="s">
        <v>250</v>
      </c>
      <c r="G86" s="13">
        <v>12.0</v>
      </c>
      <c r="H86" s="13">
        <v>25.0</v>
      </c>
      <c r="I86" s="13">
        <f t="shared" si="6"/>
        <v>0.004796164602</v>
      </c>
      <c r="J86" s="13"/>
      <c r="K86" s="13">
        <f t="shared" si="7"/>
        <v>0.119904115</v>
      </c>
      <c r="L86" s="13">
        <v>0.0</v>
      </c>
      <c r="M86" s="13">
        <v>0.0</v>
      </c>
      <c r="N86" s="13">
        <v>0.0</v>
      </c>
    </row>
    <row r="87" ht="14.25" customHeight="1">
      <c r="A87" s="13" t="s">
        <v>732</v>
      </c>
      <c r="B87" s="13" t="s">
        <v>574</v>
      </c>
      <c r="C87" s="13">
        <v>100.0</v>
      </c>
      <c r="D87" s="13">
        <v>138.0</v>
      </c>
      <c r="E87" s="13">
        <v>69.0</v>
      </c>
      <c r="F87" s="5" t="s">
        <v>250</v>
      </c>
      <c r="G87" s="13">
        <v>12.0</v>
      </c>
      <c r="H87" s="13">
        <v>25.0</v>
      </c>
      <c r="I87" s="13">
        <f t="shared" si="6"/>
        <v>0.004796164602</v>
      </c>
      <c r="J87" s="13"/>
      <c r="K87" s="13">
        <f t="shared" si="7"/>
        <v>0.119904115</v>
      </c>
      <c r="L87" s="13">
        <v>0.0</v>
      </c>
      <c r="M87" s="13">
        <v>0.0</v>
      </c>
      <c r="N87" s="13">
        <v>0.0</v>
      </c>
    </row>
    <row r="88" ht="14.25" customHeight="1">
      <c r="A88" s="13" t="s">
        <v>733</v>
      </c>
      <c r="B88" s="13" t="s">
        <v>574</v>
      </c>
      <c r="C88" s="13">
        <v>100.0</v>
      </c>
      <c r="D88" s="13">
        <v>138.0</v>
      </c>
      <c r="E88" s="13">
        <v>69.0</v>
      </c>
      <c r="F88" s="5" t="s">
        <v>250</v>
      </c>
      <c r="G88" s="13">
        <v>12.0</v>
      </c>
      <c r="H88" s="13">
        <v>25.0</v>
      </c>
      <c r="I88" s="13">
        <f t="shared" si="6"/>
        <v>0.004796164602</v>
      </c>
      <c r="J88" s="13"/>
      <c r="K88" s="13">
        <f t="shared" si="7"/>
        <v>0.119904115</v>
      </c>
      <c r="L88" s="13">
        <v>0.0</v>
      </c>
      <c r="M88" s="13">
        <v>0.0</v>
      </c>
      <c r="N88" s="13">
        <v>0.0</v>
      </c>
    </row>
    <row r="89" ht="14.25" customHeight="1">
      <c r="A89" s="13" t="s">
        <v>734</v>
      </c>
      <c r="B89" s="13" t="s">
        <v>577</v>
      </c>
      <c r="C89" s="13">
        <v>100.0</v>
      </c>
      <c r="D89" s="13">
        <v>138.0</v>
      </c>
      <c r="E89" s="13">
        <v>69.0</v>
      </c>
      <c r="F89" s="5" t="s">
        <v>250</v>
      </c>
      <c r="G89" s="13">
        <v>12.0</v>
      </c>
      <c r="H89" s="13">
        <v>25.0</v>
      </c>
      <c r="I89" s="13">
        <f t="shared" si="6"/>
        <v>0.004796164602</v>
      </c>
      <c r="J89" s="13"/>
      <c r="K89" s="13">
        <f t="shared" si="7"/>
        <v>0.119904115</v>
      </c>
      <c r="L89" s="13">
        <v>0.0</v>
      </c>
      <c r="M89" s="13">
        <v>0.0</v>
      </c>
      <c r="N89" s="13">
        <v>0.0</v>
      </c>
    </row>
    <row r="90" ht="14.25" customHeight="1">
      <c r="A90" s="13" t="s">
        <v>735</v>
      </c>
      <c r="B90" s="13" t="s">
        <v>577</v>
      </c>
      <c r="C90" s="13">
        <v>100.0</v>
      </c>
      <c r="D90" s="13">
        <v>138.0</v>
      </c>
      <c r="E90" s="13">
        <v>69.0</v>
      </c>
      <c r="F90" s="5" t="s">
        <v>250</v>
      </c>
      <c r="G90" s="13">
        <v>12.0</v>
      </c>
      <c r="H90" s="13">
        <v>25.0</v>
      </c>
      <c r="I90" s="13">
        <f t="shared" si="6"/>
        <v>0.004796164602</v>
      </c>
      <c r="J90" s="13"/>
      <c r="K90" s="13">
        <f t="shared" si="7"/>
        <v>0.119904115</v>
      </c>
      <c r="L90" s="13">
        <v>0.0</v>
      </c>
      <c r="M90" s="13">
        <v>0.0</v>
      </c>
      <c r="N90" s="13">
        <v>0.0</v>
      </c>
    </row>
    <row r="91" ht="14.25" customHeight="1">
      <c r="A91" s="13" t="s">
        <v>736</v>
      </c>
      <c r="B91" s="13" t="s">
        <v>577</v>
      </c>
      <c r="C91" s="13">
        <v>100.0</v>
      </c>
      <c r="D91" s="13">
        <v>138.0</v>
      </c>
      <c r="E91" s="13">
        <v>69.0</v>
      </c>
      <c r="F91" s="5" t="s">
        <v>250</v>
      </c>
      <c r="G91" s="13">
        <v>12.0</v>
      </c>
      <c r="H91" s="13">
        <v>25.0</v>
      </c>
      <c r="I91" s="13">
        <f t="shared" si="6"/>
        <v>0.004796164602</v>
      </c>
      <c r="J91" s="13"/>
      <c r="K91" s="13">
        <f t="shared" si="7"/>
        <v>0.119904115</v>
      </c>
      <c r="L91" s="13">
        <v>0.0</v>
      </c>
      <c r="M91" s="13">
        <v>0.0</v>
      </c>
      <c r="N91" s="13">
        <v>0.0</v>
      </c>
    </row>
    <row r="92" ht="14.25" customHeight="1">
      <c r="A92" s="13" t="s">
        <v>737</v>
      </c>
      <c r="B92" s="13" t="s">
        <v>557</v>
      </c>
      <c r="C92" s="13">
        <v>100.0</v>
      </c>
      <c r="D92" s="13">
        <v>138.0</v>
      </c>
      <c r="E92" s="13">
        <v>69.0</v>
      </c>
      <c r="F92" s="5" t="s">
        <v>250</v>
      </c>
      <c r="G92" s="13">
        <v>12.0</v>
      </c>
      <c r="H92" s="13">
        <v>25.0</v>
      </c>
      <c r="I92" s="13">
        <f t="shared" si="6"/>
        <v>0.004796164602</v>
      </c>
      <c r="J92" s="13"/>
      <c r="K92" s="13">
        <f t="shared" si="7"/>
        <v>0.119904115</v>
      </c>
      <c r="L92" s="13">
        <v>0.0</v>
      </c>
      <c r="M92" s="13">
        <v>0.0</v>
      </c>
      <c r="N92" s="13">
        <v>0.0</v>
      </c>
    </row>
    <row r="93" ht="14.25" customHeight="1">
      <c r="A93" s="13" t="s">
        <v>738</v>
      </c>
      <c r="B93" s="13" t="s">
        <v>557</v>
      </c>
      <c r="C93" s="13">
        <v>100.0</v>
      </c>
      <c r="D93" s="13">
        <v>138.0</v>
      </c>
      <c r="E93" s="13">
        <v>69.0</v>
      </c>
      <c r="F93" s="5" t="s">
        <v>250</v>
      </c>
      <c r="G93" s="13">
        <v>12.0</v>
      </c>
      <c r="H93" s="13">
        <v>25.0</v>
      </c>
      <c r="I93" s="13">
        <f t="shared" si="6"/>
        <v>0.004796164602</v>
      </c>
      <c r="J93" s="13"/>
      <c r="K93" s="13">
        <f t="shared" si="7"/>
        <v>0.119904115</v>
      </c>
      <c r="L93" s="13">
        <v>0.0</v>
      </c>
      <c r="M93" s="13">
        <v>0.0</v>
      </c>
      <c r="N93" s="13">
        <v>0.0</v>
      </c>
    </row>
    <row r="94" ht="14.25" customHeight="1">
      <c r="A94" s="13" t="s">
        <v>739</v>
      </c>
      <c r="B94" s="13" t="s">
        <v>314</v>
      </c>
      <c r="C94" s="13">
        <v>37.5</v>
      </c>
      <c r="D94" s="13">
        <v>138.0</v>
      </c>
      <c r="E94" s="13">
        <v>34.5</v>
      </c>
      <c r="F94" s="5" t="s">
        <v>250</v>
      </c>
      <c r="G94" s="13">
        <v>12.0</v>
      </c>
      <c r="H94" s="13">
        <v>15.0</v>
      </c>
      <c r="I94" s="13">
        <f t="shared" si="6"/>
        <v>0.007982281263</v>
      </c>
      <c r="J94" s="13"/>
      <c r="K94" s="13">
        <f t="shared" si="7"/>
        <v>0.1197342189</v>
      </c>
      <c r="L94" s="13">
        <v>0.0</v>
      </c>
      <c r="M94" s="13">
        <v>0.0</v>
      </c>
      <c r="N94" s="13">
        <v>0.0</v>
      </c>
    </row>
    <row r="95" ht="14.25" customHeight="1">
      <c r="A95" s="13" t="s">
        <v>740</v>
      </c>
      <c r="B95" s="13" t="s">
        <v>314</v>
      </c>
      <c r="C95" s="13">
        <v>40.0</v>
      </c>
      <c r="D95" s="13">
        <v>138.0</v>
      </c>
      <c r="E95" s="13">
        <v>34.5</v>
      </c>
      <c r="F95" s="5" t="s">
        <v>250</v>
      </c>
      <c r="G95" s="13">
        <v>12.0</v>
      </c>
      <c r="H95" s="13">
        <v>20.0</v>
      </c>
      <c r="I95" s="13">
        <f t="shared" si="6"/>
        <v>0.005992514033</v>
      </c>
      <c r="J95" s="13"/>
      <c r="K95" s="13">
        <f t="shared" si="7"/>
        <v>0.1198502807</v>
      </c>
      <c r="L95" s="13">
        <v>0.0</v>
      </c>
      <c r="M95" s="13">
        <v>0.0</v>
      </c>
      <c r="N95" s="13">
        <v>0.0</v>
      </c>
    </row>
    <row r="96" ht="14.25" customHeight="1">
      <c r="A96" s="13" t="s">
        <v>741</v>
      </c>
      <c r="B96" s="13" t="s">
        <v>314</v>
      </c>
      <c r="C96" s="13">
        <v>40.0</v>
      </c>
      <c r="D96" s="13">
        <v>138.0</v>
      </c>
      <c r="E96" s="13">
        <v>34.5</v>
      </c>
      <c r="F96" s="5" t="s">
        <v>250</v>
      </c>
      <c r="G96" s="13">
        <v>12.0</v>
      </c>
      <c r="H96" s="13">
        <v>20.0</v>
      </c>
      <c r="I96" s="13">
        <f t="shared" si="6"/>
        <v>0.005992514033</v>
      </c>
      <c r="J96" s="13"/>
      <c r="K96" s="13">
        <f t="shared" si="7"/>
        <v>0.1198502807</v>
      </c>
      <c r="L96" s="13">
        <v>0.0</v>
      </c>
      <c r="M96" s="13">
        <v>0.0</v>
      </c>
      <c r="N96" s="13">
        <v>0.0</v>
      </c>
    </row>
    <row r="97" ht="14.25" customHeight="1">
      <c r="A97" s="13" t="s">
        <v>742</v>
      </c>
      <c r="B97" s="13" t="s">
        <v>743</v>
      </c>
      <c r="C97" s="13">
        <v>25.0</v>
      </c>
      <c r="D97" s="13">
        <v>69.0</v>
      </c>
      <c r="E97" s="13">
        <v>13.8</v>
      </c>
      <c r="F97" s="5" t="s">
        <v>250</v>
      </c>
      <c r="G97" s="13">
        <v>9.0</v>
      </c>
      <c r="H97" s="13">
        <v>15.0</v>
      </c>
      <c r="I97" s="13">
        <f t="shared" si="6"/>
        <v>0.005986710947</v>
      </c>
      <c r="J97" s="13"/>
      <c r="K97" s="13">
        <f t="shared" si="7"/>
        <v>0.08980066421</v>
      </c>
      <c r="L97" s="13">
        <v>0.0</v>
      </c>
      <c r="M97" s="13">
        <v>0.0</v>
      </c>
      <c r="N97" s="13">
        <v>0.0</v>
      </c>
    </row>
    <row r="98" ht="14.25" customHeight="1">
      <c r="A98" s="13" t="s">
        <v>744</v>
      </c>
      <c r="B98" s="13" t="s">
        <v>537</v>
      </c>
      <c r="C98" s="13">
        <v>50.0</v>
      </c>
      <c r="D98" s="13">
        <v>138.0</v>
      </c>
      <c r="E98" s="13">
        <v>69.0</v>
      </c>
      <c r="F98" s="5">
        <v>13.8</v>
      </c>
      <c r="G98" s="13">
        <v>12.0</v>
      </c>
      <c r="H98" s="13">
        <v>20.0</v>
      </c>
      <c r="I98" s="13">
        <f t="shared" si="6"/>
        <v>0.005992514033</v>
      </c>
      <c r="J98" s="13"/>
      <c r="K98" s="13">
        <f t="shared" si="7"/>
        <v>0.1198502807</v>
      </c>
      <c r="L98" s="13">
        <v>0.0</v>
      </c>
      <c r="M98" s="13">
        <v>0.0</v>
      </c>
      <c r="N98" s="13">
        <v>0.0</v>
      </c>
    </row>
    <row r="99" ht="14.25" customHeight="1">
      <c r="A99" s="13" t="s">
        <v>745</v>
      </c>
      <c r="B99" s="13" t="s">
        <v>537</v>
      </c>
      <c r="C99" s="13">
        <v>50.0</v>
      </c>
      <c r="D99" s="13">
        <v>138.0</v>
      </c>
      <c r="E99" s="13">
        <v>69.0</v>
      </c>
      <c r="F99" s="5" t="s">
        <v>250</v>
      </c>
      <c r="G99" s="13">
        <v>12.0</v>
      </c>
      <c r="H99" s="13">
        <v>20.0</v>
      </c>
      <c r="I99" s="13">
        <f t="shared" si="6"/>
        <v>0.005992514033</v>
      </c>
      <c r="J99" s="13"/>
      <c r="K99" s="13">
        <f t="shared" si="7"/>
        <v>0.1198502807</v>
      </c>
      <c r="L99" s="13">
        <v>0.0</v>
      </c>
      <c r="M99" s="13">
        <v>0.0</v>
      </c>
      <c r="N99" s="13">
        <v>0.0</v>
      </c>
    </row>
    <row r="100" ht="14.25" customHeight="1">
      <c r="A100" s="13" t="s">
        <v>746</v>
      </c>
      <c r="B100" s="13" t="s">
        <v>519</v>
      </c>
      <c r="C100" s="13">
        <v>300.0</v>
      </c>
      <c r="D100" s="13">
        <v>230.0</v>
      </c>
      <c r="E100" s="13">
        <v>138.0</v>
      </c>
      <c r="F100" s="5" t="s">
        <v>250</v>
      </c>
      <c r="G100" s="13">
        <v>16.0</v>
      </c>
      <c r="H100" s="13">
        <v>35.0</v>
      </c>
      <c r="I100" s="13">
        <f t="shared" si="6"/>
        <v>0.004569563824</v>
      </c>
      <c r="J100" s="13"/>
      <c r="K100" s="13">
        <f t="shared" si="7"/>
        <v>0.1599347338</v>
      </c>
      <c r="L100" s="13">
        <v>0.0</v>
      </c>
      <c r="M100" s="13">
        <v>0.0</v>
      </c>
      <c r="N100" s="13">
        <v>0.0</v>
      </c>
    </row>
    <row r="101" ht="14.25" customHeight="1">
      <c r="A101" s="13" t="s">
        <v>747</v>
      </c>
      <c r="B101" s="13" t="s">
        <v>519</v>
      </c>
      <c r="C101" s="13">
        <v>300.0</v>
      </c>
      <c r="D101" s="13">
        <v>230.0</v>
      </c>
      <c r="E101" s="13">
        <v>138.0</v>
      </c>
      <c r="F101" s="5" t="s">
        <v>250</v>
      </c>
      <c r="G101" s="13">
        <v>16.0</v>
      </c>
      <c r="H101" s="13">
        <v>35.0</v>
      </c>
      <c r="I101" s="13">
        <f t="shared" si="6"/>
        <v>0.004569563824</v>
      </c>
      <c r="J101" s="13"/>
      <c r="K101" s="13">
        <f t="shared" si="7"/>
        <v>0.1599347338</v>
      </c>
      <c r="L101" s="13">
        <v>0.0</v>
      </c>
      <c r="M101" s="13">
        <v>0.0</v>
      </c>
      <c r="N101" s="13">
        <v>0.0</v>
      </c>
    </row>
    <row r="102" ht="14.25" customHeight="1">
      <c r="A102" s="13" t="s">
        <v>748</v>
      </c>
      <c r="B102" s="13" t="s">
        <v>519</v>
      </c>
      <c r="C102" s="13">
        <v>300.0</v>
      </c>
      <c r="D102" s="13">
        <v>230.0</v>
      </c>
      <c r="E102" s="13">
        <v>138.0</v>
      </c>
      <c r="F102" s="5" t="s">
        <v>250</v>
      </c>
      <c r="G102" s="13">
        <v>16.0</v>
      </c>
      <c r="H102" s="13">
        <v>35.0</v>
      </c>
      <c r="I102" s="13">
        <f t="shared" si="6"/>
        <v>0.004569563824</v>
      </c>
      <c r="J102" s="13"/>
      <c r="K102" s="13">
        <f t="shared" si="7"/>
        <v>0.1599347338</v>
      </c>
      <c r="L102" s="13">
        <v>0.0</v>
      </c>
      <c r="M102" s="13">
        <v>0.0</v>
      </c>
      <c r="N102" s="13">
        <v>0.0</v>
      </c>
    </row>
    <row r="103" ht="14.25" customHeight="1">
      <c r="A103" s="13" t="s">
        <v>749</v>
      </c>
      <c r="B103" s="13" t="s">
        <v>522</v>
      </c>
      <c r="C103" s="13">
        <v>210.0</v>
      </c>
      <c r="D103" s="13">
        <v>230.0</v>
      </c>
      <c r="E103" s="13">
        <v>18.0</v>
      </c>
      <c r="F103" s="5" t="s">
        <v>250</v>
      </c>
      <c r="G103" s="13">
        <v>16.0</v>
      </c>
      <c r="H103" s="13">
        <v>35.0</v>
      </c>
      <c r="I103" s="13">
        <f t="shared" si="6"/>
        <v>0.004569563824</v>
      </c>
      <c r="J103" s="13"/>
      <c r="K103" s="13">
        <f t="shared" si="7"/>
        <v>0.1599347338</v>
      </c>
      <c r="L103" s="13">
        <v>0.0</v>
      </c>
      <c r="M103" s="13">
        <v>0.0</v>
      </c>
      <c r="N103" s="13">
        <v>0.0</v>
      </c>
    </row>
    <row r="104" ht="14.25" customHeight="1">
      <c r="A104" s="13" t="s">
        <v>750</v>
      </c>
      <c r="B104" s="13" t="s">
        <v>522</v>
      </c>
      <c r="C104" s="13">
        <v>210.0</v>
      </c>
      <c r="D104" s="13">
        <v>230.0</v>
      </c>
      <c r="E104" s="13">
        <v>18.0</v>
      </c>
      <c r="F104" s="5" t="s">
        <v>250</v>
      </c>
      <c r="G104" s="13">
        <v>16.0</v>
      </c>
      <c r="H104" s="13">
        <v>35.0</v>
      </c>
      <c r="I104" s="13">
        <f t="shared" si="6"/>
        <v>0.004569563824</v>
      </c>
      <c r="J104" s="13"/>
      <c r="K104" s="13">
        <f t="shared" si="7"/>
        <v>0.1599347338</v>
      </c>
      <c r="L104" s="13">
        <v>0.0</v>
      </c>
      <c r="M104" s="13">
        <v>0.0</v>
      </c>
      <c r="N104" s="13">
        <v>0.0</v>
      </c>
    </row>
    <row r="105" ht="14.25" customHeight="1">
      <c r="A105" s="13" t="s">
        <v>751</v>
      </c>
      <c r="B105" s="13" t="s">
        <v>535</v>
      </c>
      <c r="C105" s="13">
        <v>100.0</v>
      </c>
      <c r="D105" s="13">
        <v>128.0</v>
      </c>
      <c r="E105" s="13">
        <v>13.8</v>
      </c>
      <c r="F105" s="5" t="s">
        <v>250</v>
      </c>
      <c r="G105" s="13">
        <v>12.0</v>
      </c>
      <c r="H105" s="13">
        <v>25.0</v>
      </c>
      <c r="I105" s="13">
        <f t="shared" si="6"/>
        <v>0.004796164602</v>
      </c>
      <c r="J105" s="13"/>
      <c r="K105" s="13">
        <f t="shared" si="7"/>
        <v>0.119904115</v>
      </c>
      <c r="L105" s="13">
        <v>0.0</v>
      </c>
      <c r="M105" s="13">
        <v>0.0</v>
      </c>
      <c r="N105" s="13">
        <v>0.0</v>
      </c>
    </row>
    <row r="106" ht="14.25" customHeight="1">
      <c r="A106" s="13" t="s">
        <v>752</v>
      </c>
      <c r="B106" s="13" t="s">
        <v>535</v>
      </c>
      <c r="C106" s="13">
        <v>100.0</v>
      </c>
      <c r="D106" s="13">
        <v>138.0</v>
      </c>
      <c r="E106" s="13">
        <v>13.8</v>
      </c>
      <c r="F106" s="5" t="s">
        <v>250</v>
      </c>
      <c r="G106" s="13">
        <v>12.0</v>
      </c>
      <c r="H106" s="13">
        <v>25.0</v>
      </c>
      <c r="I106" s="13">
        <f t="shared" si="6"/>
        <v>0.004796164602</v>
      </c>
      <c r="J106" s="13"/>
      <c r="K106" s="13">
        <f t="shared" si="7"/>
        <v>0.119904115</v>
      </c>
      <c r="L106" s="13">
        <v>0.0</v>
      </c>
      <c r="M106" s="13">
        <v>0.0</v>
      </c>
      <c r="N106" s="13">
        <v>0.0</v>
      </c>
    </row>
    <row r="107" ht="14.25" customHeight="1">
      <c r="A107" s="13" t="s">
        <v>753</v>
      </c>
      <c r="B107" s="13" t="s">
        <v>535</v>
      </c>
      <c r="C107" s="13">
        <v>100.0</v>
      </c>
      <c r="D107" s="13">
        <v>138.0</v>
      </c>
      <c r="E107" s="13">
        <v>13.8</v>
      </c>
      <c r="F107" s="5" t="s">
        <v>250</v>
      </c>
      <c r="G107" s="13">
        <v>12.0</v>
      </c>
      <c r="H107" s="13">
        <v>25.0</v>
      </c>
      <c r="I107" s="13">
        <f t="shared" si="6"/>
        <v>0.004796164602</v>
      </c>
      <c r="J107" s="13"/>
      <c r="K107" s="13">
        <f t="shared" si="7"/>
        <v>0.119904115</v>
      </c>
      <c r="L107" s="13">
        <v>0.0</v>
      </c>
      <c r="M107" s="13">
        <v>0.0</v>
      </c>
      <c r="N107" s="13">
        <v>0.0</v>
      </c>
    </row>
    <row r="108" ht="14.25" customHeight="1">
      <c r="A108" s="13" t="s">
        <v>754</v>
      </c>
      <c r="B108" s="13" t="s">
        <v>525</v>
      </c>
      <c r="C108" s="13">
        <v>150.0</v>
      </c>
      <c r="D108" s="13">
        <v>230.0</v>
      </c>
      <c r="E108" s="13">
        <v>138.0</v>
      </c>
      <c r="F108" s="5" t="s">
        <v>250</v>
      </c>
      <c r="G108" s="13">
        <v>16.0</v>
      </c>
      <c r="H108" s="13">
        <v>30.0</v>
      </c>
      <c r="I108" s="13">
        <f t="shared" si="6"/>
        <v>0.005330372837</v>
      </c>
      <c r="J108" s="13"/>
      <c r="K108" s="13">
        <f t="shared" si="7"/>
        <v>0.1599111851</v>
      </c>
      <c r="L108" s="13">
        <v>0.0</v>
      </c>
      <c r="M108" s="13">
        <v>0.0</v>
      </c>
      <c r="N108" s="13">
        <v>0.0</v>
      </c>
    </row>
    <row r="109" ht="14.25" customHeight="1">
      <c r="A109" s="13" t="s">
        <v>755</v>
      </c>
      <c r="B109" s="13" t="s">
        <v>525</v>
      </c>
      <c r="C109" s="13">
        <v>150.0</v>
      </c>
      <c r="D109" s="13">
        <v>230.0</v>
      </c>
      <c r="E109" s="13">
        <v>138.0</v>
      </c>
      <c r="F109" s="5" t="s">
        <v>250</v>
      </c>
      <c r="G109" s="13">
        <v>16.0</v>
      </c>
      <c r="H109" s="13">
        <v>30.0</v>
      </c>
      <c r="I109" s="13">
        <f t="shared" si="6"/>
        <v>0.005330372837</v>
      </c>
      <c r="J109" s="13"/>
      <c r="K109" s="13">
        <f t="shared" si="7"/>
        <v>0.1599111851</v>
      </c>
      <c r="L109" s="13">
        <v>0.0</v>
      </c>
      <c r="M109" s="13">
        <v>0.0</v>
      </c>
      <c r="N109" s="13">
        <v>0.0</v>
      </c>
    </row>
    <row r="110" ht="14.25" customHeight="1">
      <c r="A110" s="13" t="s">
        <v>756</v>
      </c>
      <c r="B110" s="13" t="s">
        <v>525</v>
      </c>
      <c r="C110" s="13">
        <v>100.0</v>
      </c>
      <c r="D110" s="13">
        <v>138.0</v>
      </c>
      <c r="E110" s="13">
        <v>69.0</v>
      </c>
      <c r="F110" s="5" t="s">
        <v>250</v>
      </c>
      <c r="G110" s="13">
        <v>12.0</v>
      </c>
      <c r="H110" s="13">
        <v>25.0</v>
      </c>
      <c r="I110" s="13">
        <f t="shared" si="6"/>
        <v>0.004796164602</v>
      </c>
      <c r="J110" s="13"/>
      <c r="K110" s="13">
        <f t="shared" si="7"/>
        <v>0.119904115</v>
      </c>
      <c r="L110" s="13">
        <v>0.0</v>
      </c>
      <c r="M110" s="13">
        <v>0.0</v>
      </c>
      <c r="N110" s="13">
        <v>0.0</v>
      </c>
    </row>
    <row r="111" ht="14.25" customHeight="1">
      <c r="A111" s="13" t="s">
        <v>757</v>
      </c>
      <c r="B111" s="13" t="s">
        <v>525</v>
      </c>
      <c r="C111" s="13">
        <v>100.0</v>
      </c>
      <c r="D111" s="13">
        <v>138.0</v>
      </c>
      <c r="E111" s="13">
        <v>69.0</v>
      </c>
      <c r="F111" s="5" t="s">
        <v>250</v>
      </c>
      <c r="G111" s="13">
        <v>12.0</v>
      </c>
      <c r="H111" s="13">
        <v>25.0</v>
      </c>
      <c r="I111" s="13">
        <f t="shared" si="6"/>
        <v>0.004796164602</v>
      </c>
      <c r="J111" s="13"/>
      <c r="K111" s="13">
        <f t="shared" si="7"/>
        <v>0.119904115</v>
      </c>
      <c r="L111" s="13">
        <v>0.0</v>
      </c>
      <c r="M111" s="13">
        <v>0.0</v>
      </c>
      <c r="N111" s="13">
        <v>0.0</v>
      </c>
    </row>
    <row r="112" ht="14.25" customHeight="1">
      <c r="A112" s="13" t="s">
        <v>758</v>
      </c>
      <c r="B112" s="13" t="s">
        <v>542</v>
      </c>
      <c r="C112" s="13">
        <v>30.0</v>
      </c>
      <c r="D112" s="13">
        <v>138.0</v>
      </c>
      <c r="E112" s="13">
        <v>69.0</v>
      </c>
      <c r="F112" s="5" t="s">
        <v>250</v>
      </c>
      <c r="G112" s="13">
        <v>12.0</v>
      </c>
      <c r="H112" s="13">
        <v>15.0</v>
      </c>
      <c r="I112" s="13">
        <f t="shared" si="6"/>
        <v>0.007982281263</v>
      </c>
      <c r="J112" s="13"/>
      <c r="K112" s="13">
        <f t="shared" si="7"/>
        <v>0.1197342189</v>
      </c>
      <c r="L112" s="13">
        <v>0.0</v>
      </c>
      <c r="M112" s="13">
        <v>0.0</v>
      </c>
      <c r="N112" s="13">
        <v>0.0</v>
      </c>
    </row>
    <row r="113" ht="14.25" customHeight="1">
      <c r="A113" s="13" t="s">
        <v>759</v>
      </c>
      <c r="B113" s="13" t="s">
        <v>542</v>
      </c>
      <c r="C113" s="13">
        <v>50.0</v>
      </c>
      <c r="D113" s="13">
        <v>138.0</v>
      </c>
      <c r="E113" s="13">
        <v>69.0</v>
      </c>
      <c r="F113" s="5" t="s">
        <v>250</v>
      </c>
      <c r="G113" s="13">
        <v>12.0</v>
      </c>
      <c r="H113" s="13">
        <v>20.0</v>
      </c>
      <c r="I113" s="13">
        <f t="shared" si="6"/>
        <v>0.005992514033</v>
      </c>
      <c r="J113" s="13"/>
      <c r="K113" s="13">
        <f t="shared" si="7"/>
        <v>0.1198502807</v>
      </c>
      <c r="L113" s="13">
        <v>0.0</v>
      </c>
      <c r="M113" s="13">
        <v>0.0</v>
      </c>
      <c r="N113" s="13">
        <v>0.0</v>
      </c>
    </row>
    <row r="114" ht="14.25" customHeight="1">
      <c r="A114" s="13" t="s">
        <v>760</v>
      </c>
      <c r="B114" s="13" t="s">
        <v>531</v>
      </c>
      <c r="C114" s="13">
        <v>50.0</v>
      </c>
      <c r="D114" s="13">
        <v>138.0</v>
      </c>
      <c r="E114" s="13">
        <v>69.0</v>
      </c>
      <c r="F114" s="5" t="s">
        <v>250</v>
      </c>
      <c r="G114" s="13">
        <v>12.0</v>
      </c>
      <c r="H114" s="13">
        <v>20.0</v>
      </c>
      <c r="I114" s="13">
        <f t="shared" si="6"/>
        <v>0.005992514033</v>
      </c>
      <c r="J114" s="13"/>
      <c r="K114" s="13">
        <f t="shared" si="7"/>
        <v>0.1198502807</v>
      </c>
      <c r="L114" s="13">
        <v>0.0</v>
      </c>
      <c r="M114" s="13">
        <v>0.0</v>
      </c>
      <c r="N114" s="13">
        <v>0.0</v>
      </c>
    </row>
    <row r="115" ht="14.25" customHeight="1">
      <c r="A115" s="13" t="s">
        <v>761</v>
      </c>
      <c r="B115" s="13" t="s">
        <v>531</v>
      </c>
      <c r="C115" s="13">
        <v>100.0</v>
      </c>
      <c r="D115" s="13">
        <v>138.0</v>
      </c>
      <c r="E115" s="13">
        <v>69.0</v>
      </c>
      <c r="F115" s="5" t="s">
        <v>250</v>
      </c>
      <c r="G115" s="13">
        <v>12.0</v>
      </c>
      <c r="H115" s="13">
        <v>25.0</v>
      </c>
      <c r="I115" s="13">
        <f t="shared" si="6"/>
        <v>0.004796164602</v>
      </c>
      <c r="J115" s="13"/>
      <c r="K115" s="13">
        <f t="shared" si="7"/>
        <v>0.119904115</v>
      </c>
      <c r="L115" s="13">
        <v>0.0</v>
      </c>
      <c r="M115" s="13">
        <v>0.0</v>
      </c>
      <c r="N115" s="13">
        <v>0.0</v>
      </c>
    </row>
    <row r="116" ht="14.25" customHeight="1">
      <c r="A116" s="13" t="s">
        <v>762</v>
      </c>
      <c r="B116" s="13" t="s">
        <v>564</v>
      </c>
      <c r="C116" s="13">
        <v>50.0</v>
      </c>
      <c r="D116" s="13">
        <v>138.0</v>
      </c>
      <c r="E116" s="13">
        <v>69.0</v>
      </c>
      <c r="F116" s="5" t="s">
        <v>250</v>
      </c>
      <c r="G116" s="13">
        <v>12.0</v>
      </c>
      <c r="H116" s="13">
        <v>20.0</v>
      </c>
      <c r="I116" s="13">
        <f t="shared" si="6"/>
        <v>0.005992514033</v>
      </c>
      <c r="J116" s="13"/>
      <c r="K116" s="13">
        <f t="shared" si="7"/>
        <v>0.1198502807</v>
      </c>
      <c r="L116" s="13">
        <v>0.0</v>
      </c>
      <c r="M116" s="13">
        <v>0.0</v>
      </c>
      <c r="N116" s="13">
        <v>0.0</v>
      </c>
    </row>
    <row r="117" ht="14.25" customHeight="1">
      <c r="A117" s="13" t="s">
        <v>763</v>
      </c>
      <c r="B117" s="13" t="s">
        <v>564</v>
      </c>
      <c r="C117" s="13">
        <v>50.0</v>
      </c>
      <c r="D117" s="13">
        <v>138.0</v>
      </c>
      <c r="E117" s="13">
        <v>69.0</v>
      </c>
      <c r="F117" s="5" t="s">
        <v>250</v>
      </c>
      <c r="G117" s="13">
        <v>12.0</v>
      </c>
      <c r="H117" s="13">
        <v>20.0</v>
      </c>
      <c r="I117" s="13">
        <f t="shared" si="6"/>
        <v>0.005992514033</v>
      </c>
      <c r="J117" s="13"/>
      <c r="K117" s="13">
        <f t="shared" si="7"/>
        <v>0.1198502807</v>
      </c>
      <c r="L117" s="13">
        <v>0.0</v>
      </c>
      <c r="M117" s="13">
        <v>0.0</v>
      </c>
      <c r="N117" s="13">
        <v>0.0</v>
      </c>
    </row>
    <row r="118" ht="14.25" customHeight="1">
      <c r="A118" s="13" t="s">
        <v>764</v>
      </c>
      <c r="B118" s="13" t="s">
        <v>564</v>
      </c>
      <c r="C118" s="13">
        <v>38.0</v>
      </c>
      <c r="D118" s="13">
        <v>138.0</v>
      </c>
      <c r="E118" s="13">
        <v>13.8</v>
      </c>
      <c r="F118" s="5" t="s">
        <v>250</v>
      </c>
      <c r="G118" s="13">
        <v>12.0</v>
      </c>
      <c r="H118" s="13">
        <v>15.0</v>
      </c>
      <c r="I118" s="13">
        <f t="shared" si="6"/>
        <v>0.007982281263</v>
      </c>
      <c r="J118" s="13"/>
      <c r="K118" s="13">
        <f t="shared" si="7"/>
        <v>0.1197342189</v>
      </c>
      <c r="L118" s="13">
        <v>0.0</v>
      </c>
      <c r="M118" s="13">
        <v>0.0</v>
      </c>
      <c r="N118" s="13">
        <v>0.0</v>
      </c>
    </row>
    <row r="119" ht="14.25" customHeight="1">
      <c r="A119" s="13" t="s">
        <v>765</v>
      </c>
      <c r="B119" s="13" t="s">
        <v>564</v>
      </c>
      <c r="C119" s="13">
        <v>38.0</v>
      </c>
      <c r="D119" s="13">
        <v>138.0</v>
      </c>
      <c r="E119" s="13">
        <v>13.8</v>
      </c>
      <c r="F119" s="5" t="s">
        <v>250</v>
      </c>
      <c r="G119" s="13">
        <v>12.0</v>
      </c>
      <c r="H119" s="13">
        <v>15.0</v>
      </c>
      <c r="I119" s="13">
        <f t="shared" si="6"/>
        <v>0.007982281263</v>
      </c>
      <c r="J119" s="13"/>
      <c r="K119" s="13">
        <f t="shared" si="7"/>
        <v>0.1197342189</v>
      </c>
      <c r="L119" s="13">
        <v>0.0</v>
      </c>
      <c r="M119" s="13">
        <v>0.0</v>
      </c>
      <c r="N119" s="13">
        <v>0.0</v>
      </c>
    </row>
    <row r="120" ht="14.25" customHeight="1">
      <c r="A120" s="13" t="s">
        <v>766</v>
      </c>
      <c r="B120" s="13" t="s">
        <v>561</v>
      </c>
      <c r="C120" s="13">
        <v>150.0</v>
      </c>
      <c r="D120" s="13">
        <v>138.0</v>
      </c>
      <c r="E120" s="13">
        <v>13.8</v>
      </c>
      <c r="F120" s="5" t="s">
        <v>250</v>
      </c>
      <c r="G120" s="13">
        <v>12.0</v>
      </c>
      <c r="H120" s="13">
        <v>30.0</v>
      </c>
      <c r="I120" s="13">
        <f t="shared" si="6"/>
        <v>0.003997779628</v>
      </c>
      <c r="J120" s="13"/>
      <c r="K120" s="13">
        <f t="shared" si="7"/>
        <v>0.1199333888</v>
      </c>
      <c r="L120" s="13">
        <v>0.0</v>
      </c>
      <c r="M120" s="13">
        <v>0.0</v>
      </c>
      <c r="N120" s="13">
        <v>0.0</v>
      </c>
    </row>
    <row r="121" ht="14.25" customHeight="1">
      <c r="A121" s="13" t="s">
        <v>767</v>
      </c>
      <c r="B121" s="13" t="s">
        <v>561</v>
      </c>
      <c r="C121" s="13">
        <v>150.0</v>
      </c>
      <c r="D121" s="13">
        <v>138.0</v>
      </c>
      <c r="E121" s="13">
        <v>13.8</v>
      </c>
      <c r="F121" s="5" t="s">
        <v>250</v>
      </c>
      <c r="G121" s="13">
        <v>12.0</v>
      </c>
      <c r="H121" s="13">
        <v>30.0</v>
      </c>
      <c r="I121" s="13">
        <f t="shared" si="6"/>
        <v>0.003997779628</v>
      </c>
      <c r="J121" s="13"/>
      <c r="K121" s="13">
        <f t="shared" si="7"/>
        <v>0.1199333888</v>
      </c>
      <c r="L121" s="13">
        <v>0.0</v>
      </c>
      <c r="M121" s="13">
        <v>0.0</v>
      </c>
      <c r="N121" s="13">
        <v>0.0</v>
      </c>
    </row>
    <row r="122" ht="14.25" customHeight="1">
      <c r="A122" s="27" t="s">
        <v>315</v>
      </c>
    </row>
    <row r="123" ht="14.25" customHeight="1">
      <c r="A123" s="13" t="s">
        <v>768</v>
      </c>
      <c r="B123" s="13" t="s">
        <v>769</v>
      </c>
      <c r="C123" s="13">
        <v>300.0</v>
      </c>
      <c r="D123" s="13">
        <v>230.0</v>
      </c>
      <c r="E123" s="13">
        <v>138.0</v>
      </c>
      <c r="F123" s="5" t="s">
        <v>250</v>
      </c>
      <c r="G123" s="13">
        <v>16.0</v>
      </c>
      <c r="H123" s="13">
        <v>35.0</v>
      </c>
      <c r="I123" s="13">
        <f t="shared" ref="I123:I130" si="8">(G123/100)/SQRT(1 + (H123)^2)</f>
        <v>0.004569563824</v>
      </c>
      <c r="J123" s="13">
        <f t="shared" ref="J123:J130" si="9">I123*100</f>
        <v>0.4569563824</v>
      </c>
      <c r="K123" s="13">
        <f t="shared" ref="K123:K130" si="10">H123 * (G123/100) / SQRT(1 + (H123)^2)</f>
        <v>0.1599347338</v>
      </c>
      <c r="L123" s="13">
        <v>0.0</v>
      </c>
      <c r="M123" s="13">
        <v>0.0</v>
      </c>
      <c r="N123" s="13">
        <v>0.0</v>
      </c>
    </row>
    <row r="124" ht="14.25" customHeight="1">
      <c r="A124" s="13" t="s">
        <v>770</v>
      </c>
      <c r="B124" s="13" t="s">
        <v>769</v>
      </c>
      <c r="C124" s="13">
        <v>300.0</v>
      </c>
      <c r="D124" s="13">
        <v>230.0</v>
      </c>
      <c r="E124" s="13">
        <v>138.0</v>
      </c>
      <c r="F124" s="5" t="s">
        <v>250</v>
      </c>
      <c r="G124" s="13">
        <v>16.0</v>
      </c>
      <c r="H124" s="13">
        <v>35.0</v>
      </c>
      <c r="I124" s="13">
        <f t="shared" si="8"/>
        <v>0.004569563824</v>
      </c>
      <c r="J124" s="13">
        <f t="shared" si="9"/>
        <v>0.4569563824</v>
      </c>
      <c r="K124" s="13">
        <f t="shared" si="10"/>
        <v>0.1599347338</v>
      </c>
      <c r="L124" s="13">
        <v>0.0</v>
      </c>
      <c r="M124" s="13">
        <v>0.0</v>
      </c>
      <c r="N124" s="13">
        <v>0.0</v>
      </c>
    </row>
    <row r="125" ht="14.25" customHeight="1">
      <c r="A125" s="13" t="s">
        <v>771</v>
      </c>
      <c r="B125" s="13" t="s">
        <v>769</v>
      </c>
      <c r="C125" s="13">
        <v>100.0</v>
      </c>
      <c r="D125" s="13">
        <v>138.0</v>
      </c>
      <c r="E125" s="13">
        <v>69.0</v>
      </c>
      <c r="F125" s="5" t="s">
        <v>250</v>
      </c>
      <c r="G125" s="13">
        <v>12.0</v>
      </c>
      <c r="H125" s="13">
        <v>25.0</v>
      </c>
      <c r="I125" s="13">
        <f t="shared" si="8"/>
        <v>0.004796164602</v>
      </c>
      <c r="J125" s="13">
        <f t="shared" si="9"/>
        <v>0.4796164602</v>
      </c>
      <c r="K125" s="13">
        <f t="shared" si="10"/>
        <v>0.119904115</v>
      </c>
      <c r="L125" s="13">
        <v>0.0</v>
      </c>
      <c r="M125" s="13">
        <v>0.0</v>
      </c>
      <c r="N125" s="13">
        <v>0.0</v>
      </c>
    </row>
    <row r="126" ht="14.25" customHeight="1">
      <c r="A126" s="13" t="s">
        <v>772</v>
      </c>
      <c r="B126" s="13" t="s">
        <v>769</v>
      </c>
      <c r="C126" s="13">
        <v>100.0</v>
      </c>
      <c r="D126" s="13">
        <v>138.0</v>
      </c>
      <c r="E126" s="13">
        <v>69.0</v>
      </c>
      <c r="F126" s="5" t="s">
        <v>250</v>
      </c>
      <c r="G126" s="13">
        <v>12.0</v>
      </c>
      <c r="H126" s="13">
        <v>25.0</v>
      </c>
      <c r="I126" s="13">
        <f t="shared" si="8"/>
        <v>0.004796164602</v>
      </c>
      <c r="J126" s="13">
        <f t="shared" si="9"/>
        <v>0.4796164602</v>
      </c>
      <c r="K126" s="13">
        <f t="shared" si="10"/>
        <v>0.119904115</v>
      </c>
      <c r="L126" s="13">
        <v>0.0</v>
      </c>
      <c r="M126" s="13">
        <v>0.0</v>
      </c>
      <c r="N126" s="13">
        <v>0.0</v>
      </c>
    </row>
    <row r="127" ht="14.25" customHeight="1">
      <c r="A127" s="13" t="s">
        <v>773</v>
      </c>
      <c r="B127" s="13" t="s">
        <v>320</v>
      </c>
      <c r="C127" s="13">
        <v>100.0</v>
      </c>
      <c r="D127" s="13">
        <v>138.0</v>
      </c>
      <c r="E127" s="13">
        <v>69.0</v>
      </c>
      <c r="F127" s="5" t="s">
        <v>250</v>
      </c>
      <c r="G127" s="13">
        <v>12.0</v>
      </c>
      <c r="H127" s="13">
        <v>25.0</v>
      </c>
      <c r="I127" s="13">
        <f t="shared" si="8"/>
        <v>0.004796164602</v>
      </c>
      <c r="J127" s="13">
        <f t="shared" si="9"/>
        <v>0.4796164602</v>
      </c>
      <c r="K127" s="13">
        <f t="shared" si="10"/>
        <v>0.119904115</v>
      </c>
      <c r="L127" s="13">
        <v>0.0</v>
      </c>
      <c r="M127" s="13">
        <v>0.0</v>
      </c>
      <c r="N127" s="13">
        <v>0.0</v>
      </c>
    </row>
    <row r="128" ht="14.25" customHeight="1">
      <c r="A128" s="13" t="s">
        <v>774</v>
      </c>
      <c r="B128" s="13" t="s">
        <v>320</v>
      </c>
      <c r="C128" s="13">
        <v>25.0</v>
      </c>
      <c r="D128" s="13">
        <v>69.0</v>
      </c>
      <c r="E128" s="13">
        <v>13.8</v>
      </c>
      <c r="F128" s="5" t="s">
        <v>250</v>
      </c>
      <c r="G128" s="13">
        <v>9.0</v>
      </c>
      <c r="H128" s="13">
        <v>15.0</v>
      </c>
      <c r="I128" s="13">
        <f t="shared" si="8"/>
        <v>0.005986710947</v>
      </c>
      <c r="J128" s="13">
        <f t="shared" si="9"/>
        <v>0.5986710947</v>
      </c>
      <c r="K128" s="13">
        <f t="shared" si="10"/>
        <v>0.08980066421</v>
      </c>
      <c r="L128" s="13">
        <v>0.0</v>
      </c>
      <c r="M128" s="13">
        <v>0.0</v>
      </c>
      <c r="N128" s="13">
        <v>0.0</v>
      </c>
    </row>
    <row r="129" ht="14.25" customHeight="1">
      <c r="A129" s="13" t="s">
        <v>775</v>
      </c>
      <c r="B129" s="13" t="s">
        <v>320</v>
      </c>
      <c r="C129" s="13">
        <v>80.0</v>
      </c>
      <c r="D129" s="13">
        <v>138.0</v>
      </c>
      <c r="E129" s="13">
        <v>13.8</v>
      </c>
      <c r="F129" s="5" t="s">
        <v>250</v>
      </c>
      <c r="G129" s="13">
        <v>12.0</v>
      </c>
      <c r="H129" s="13">
        <v>25.0</v>
      </c>
      <c r="I129" s="13">
        <f t="shared" si="8"/>
        <v>0.004796164602</v>
      </c>
      <c r="J129" s="13">
        <f t="shared" si="9"/>
        <v>0.4796164602</v>
      </c>
      <c r="K129" s="13">
        <f t="shared" si="10"/>
        <v>0.119904115</v>
      </c>
      <c r="L129" s="13">
        <v>0.0</v>
      </c>
      <c r="M129" s="13">
        <v>0.0</v>
      </c>
      <c r="N129" s="13">
        <v>0.0</v>
      </c>
    </row>
    <row r="130" ht="14.25" customHeight="1">
      <c r="A130" s="13" t="s">
        <v>776</v>
      </c>
      <c r="B130" s="13" t="s">
        <v>777</v>
      </c>
      <c r="C130" s="13">
        <v>42.0</v>
      </c>
      <c r="D130" s="13">
        <v>69.0</v>
      </c>
      <c r="E130" s="13">
        <v>13.8</v>
      </c>
      <c r="F130" s="5" t="s">
        <v>250</v>
      </c>
      <c r="G130" s="13">
        <v>9.0</v>
      </c>
      <c r="H130" s="13">
        <v>20.0</v>
      </c>
      <c r="I130" s="13">
        <f t="shared" si="8"/>
        <v>0.004494385525</v>
      </c>
      <c r="J130" s="13">
        <f t="shared" si="9"/>
        <v>0.4494385525</v>
      </c>
      <c r="K130" s="13">
        <f t="shared" si="10"/>
        <v>0.0898877105</v>
      </c>
      <c r="L130" s="13">
        <v>0.0</v>
      </c>
      <c r="M130" s="13">
        <v>0.0</v>
      </c>
      <c r="N130" s="13">
        <v>0.0</v>
      </c>
    </row>
    <row r="131" ht="14.25" customHeight="1">
      <c r="A131" s="27" t="s">
        <v>360</v>
      </c>
    </row>
    <row r="132" ht="14.25" customHeight="1">
      <c r="A132" s="13" t="s">
        <v>778</v>
      </c>
      <c r="B132" s="13" t="s">
        <v>583</v>
      </c>
      <c r="C132" s="13">
        <v>110.0</v>
      </c>
      <c r="D132" s="13">
        <v>230.0</v>
      </c>
      <c r="E132" s="13">
        <v>34.5</v>
      </c>
      <c r="F132" s="5" t="s">
        <v>250</v>
      </c>
      <c r="G132" s="13">
        <v>16.0</v>
      </c>
      <c r="H132" s="13">
        <v>30.0</v>
      </c>
      <c r="I132" s="13">
        <f t="shared" ref="I132:I159" si="11">(G132/100)/SQRT(1 + (H132)^2)</f>
        <v>0.005330372837</v>
      </c>
      <c r="J132" s="13"/>
      <c r="K132" s="13">
        <f t="shared" ref="K132:K159" si="12">H132 * (G132/100) / SQRT(1 + (H132)^2)</f>
        <v>0.1599111851</v>
      </c>
      <c r="L132" s="13">
        <v>0.0</v>
      </c>
      <c r="M132" s="13">
        <v>0.0</v>
      </c>
      <c r="N132" s="13">
        <v>0.0</v>
      </c>
    </row>
    <row r="133" ht="14.25" customHeight="1">
      <c r="A133" s="13" t="s">
        <v>779</v>
      </c>
      <c r="B133" s="13" t="s">
        <v>583</v>
      </c>
      <c r="C133" s="13">
        <v>50.0</v>
      </c>
      <c r="D133" s="13">
        <v>230.0</v>
      </c>
      <c r="E133" s="13">
        <v>69.0</v>
      </c>
      <c r="F133" s="5" t="s">
        <v>250</v>
      </c>
      <c r="G133" s="13">
        <v>16.0</v>
      </c>
      <c r="H133" s="13">
        <v>20.0</v>
      </c>
      <c r="I133" s="13">
        <f t="shared" si="11"/>
        <v>0.007990018711</v>
      </c>
      <c r="J133" s="13"/>
      <c r="K133" s="13">
        <f t="shared" si="12"/>
        <v>0.1598003742</v>
      </c>
      <c r="L133" s="13">
        <v>0.0</v>
      </c>
      <c r="M133" s="13">
        <v>0.0</v>
      </c>
      <c r="N133" s="13">
        <v>0.0</v>
      </c>
    </row>
    <row r="134" ht="14.25" customHeight="1">
      <c r="A134" s="13" t="s">
        <v>780</v>
      </c>
      <c r="B134" s="13" t="s">
        <v>781</v>
      </c>
      <c r="C134" s="13">
        <v>50.0</v>
      </c>
      <c r="D134" s="13">
        <v>138.0</v>
      </c>
      <c r="E134" s="13">
        <v>69.0</v>
      </c>
      <c r="F134" s="5" t="s">
        <v>250</v>
      </c>
      <c r="G134" s="13">
        <v>12.0</v>
      </c>
      <c r="H134" s="13">
        <v>20.0</v>
      </c>
      <c r="I134" s="13">
        <f t="shared" si="11"/>
        <v>0.005992514033</v>
      </c>
      <c r="J134" s="13"/>
      <c r="K134" s="13">
        <f t="shared" si="12"/>
        <v>0.1198502807</v>
      </c>
      <c r="L134" s="13">
        <v>0.0</v>
      </c>
      <c r="M134" s="13">
        <v>0.0</v>
      </c>
      <c r="N134" s="13">
        <v>0.0</v>
      </c>
    </row>
    <row r="135" ht="14.25" customHeight="1">
      <c r="A135" s="13" t="s">
        <v>782</v>
      </c>
      <c r="B135" s="13" t="s">
        <v>781</v>
      </c>
      <c r="C135" s="13">
        <v>50.0</v>
      </c>
      <c r="D135" s="13">
        <v>138.0</v>
      </c>
      <c r="E135" s="13">
        <v>69.0</v>
      </c>
      <c r="F135" s="5" t="s">
        <v>250</v>
      </c>
      <c r="G135" s="13">
        <v>12.0</v>
      </c>
      <c r="H135" s="13">
        <v>20.0</v>
      </c>
      <c r="I135" s="13">
        <f t="shared" si="11"/>
        <v>0.005992514033</v>
      </c>
      <c r="J135" s="13"/>
      <c r="K135" s="13">
        <f t="shared" si="12"/>
        <v>0.1198502807</v>
      </c>
      <c r="L135" s="13">
        <v>0.0</v>
      </c>
      <c r="M135" s="13">
        <v>0.0</v>
      </c>
      <c r="N135" s="13">
        <v>0.0</v>
      </c>
    </row>
    <row r="136" ht="14.25" customHeight="1">
      <c r="A136" s="13" t="s">
        <v>783</v>
      </c>
      <c r="B136" s="13" t="s">
        <v>784</v>
      </c>
      <c r="C136" s="13">
        <v>15.0</v>
      </c>
      <c r="D136" s="13">
        <v>69.0</v>
      </c>
      <c r="E136" s="13">
        <v>6.3</v>
      </c>
      <c r="F136" s="5" t="s">
        <v>250</v>
      </c>
      <c r="G136" s="13">
        <v>9.0</v>
      </c>
      <c r="H136" s="13">
        <v>10.0</v>
      </c>
      <c r="I136" s="13">
        <f t="shared" si="11"/>
        <v>0.008955334712</v>
      </c>
      <c r="J136" s="13"/>
      <c r="K136" s="13">
        <f t="shared" si="12"/>
        <v>0.08955334712</v>
      </c>
      <c r="L136" s="13">
        <v>0.0</v>
      </c>
      <c r="M136" s="13">
        <v>0.0</v>
      </c>
      <c r="N136" s="13">
        <v>0.0</v>
      </c>
    </row>
    <row r="137" ht="14.25" customHeight="1">
      <c r="A137" s="13" t="s">
        <v>785</v>
      </c>
      <c r="B137" s="13" t="s">
        <v>786</v>
      </c>
      <c r="C137" s="13">
        <v>50.0</v>
      </c>
      <c r="D137" s="13">
        <v>138.0</v>
      </c>
      <c r="E137" s="13">
        <v>69.0</v>
      </c>
      <c r="F137" s="5" t="s">
        <v>250</v>
      </c>
      <c r="G137" s="13">
        <v>12.0</v>
      </c>
      <c r="H137" s="13">
        <v>20.0</v>
      </c>
      <c r="I137" s="13">
        <f t="shared" si="11"/>
        <v>0.005992514033</v>
      </c>
      <c r="J137" s="13"/>
      <c r="K137" s="13">
        <f t="shared" si="12"/>
        <v>0.1198502807</v>
      </c>
      <c r="L137" s="13">
        <v>0.0</v>
      </c>
      <c r="M137" s="13">
        <v>0.0</v>
      </c>
      <c r="N137" s="13">
        <v>0.0</v>
      </c>
    </row>
    <row r="138" ht="14.25" customHeight="1">
      <c r="A138" s="13" t="s">
        <v>787</v>
      </c>
      <c r="B138" s="13" t="s">
        <v>786</v>
      </c>
      <c r="C138" s="13">
        <v>20.0</v>
      </c>
      <c r="D138" s="13">
        <v>69.0</v>
      </c>
      <c r="E138" s="13">
        <v>13.8</v>
      </c>
      <c r="F138" s="5" t="s">
        <v>250</v>
      </c>
      <c r="G138" s="13">
        <v>9.0</v>
      </c>
      <c r="H138" s="13">
        <v>15.0</v>
      </c>
      <c r="I138" s="13">
        <f t="shared" si="11"/>
        <v>0.005986710947</v>
      </c>
      <c r="J138" s="13"/>
      <c r="K138" s="13">
        <f t="shared" si="12"/>
        <v>0.08980066421</v>
      </c>
      <c r="L138" s="13">
        <v>0.0</v>
      </c>
      <c r="M138" s="13">
        <v>0.0</v>
      </c>
      <c r="N138" s="13">
        <v>0.0</v>
      </c>
    </row>
    <row r="139" ht="14.25" customHeight="1">
      <c r="A139" s="13" t="s">
        <v>788</v>
      </c>
      <c r="B139" s="13" t="s">
        <v>786</v>
      </c>
      <c r="C139" s="13">
        <v>18.0</v>
      </c>
      <c r="D139" s="13">
        <v>69.0</v>
      </c>
      <c r="E139" s="13">
        <v>6.3</v>
      </c>
      <c r="F139" s="5" t="s">
        <v>250</v>
      </c>
      <c r="G139" s="13">
        <v>9.0</v>
      </c>
      <c r="H139" s="13">
        <v>15.0</v>
      </c>
      <c r="I139" s="13">
        <f t="shared" si="11"/>
        <v>0.005986710947</v>
      </c>
      <c r="J139" s="13"/>
      <c r="K139" s="13">
        <f t="shared" si="12"/>
        <v>0.08980066421</v>
      </c>
      <c r="L139" s="13">
        <v>0.0</v>
      </c>
      <c r="M139" s="13">
        <v>0.0</v>
      </c>
      <c r="N139" s="13">
        <v>0.0</v>
      </c>
    </row>
    <row r="140" ht="14.25" customHeight="1">
      <c r="A140" s="13" t="s">
        <v>789</v>
      </c>
      <c r="B140" s="13" t="s">
        <v>786</v>
      </c>
      <c r="C140" s="13">
        <v>18.0</v>
      </c>
      <c r="D140" s="13">
        <v>69.0</v>
      </c>
      <c r="E140" s="13">
        <v>6.3</v>
      </c>
      <c r="F140" s="5" t="s">
        <v>250</v>
      </c>
      <c r="G140" s="13">
        <v>9.0</v>
      </c>
      <c r="H140" s="13">
        <v>15.0</v>
      </c>
      <c r="I140" s="13">
        <f t="shared" si="11"/>
        <v>0.005986710947</v>
      </c>
      <c r="J140" s="13"/>
      <c r="K140" s="13">
        <f t="shared" si="12"/>
        <v>0.08980066421</v>
      </c>
      <c r="L140" s="13">
        <v>0.0</v>
      </c>
      <c r="M140" s="13">
        <v>0.0</v>
      </c>
      <c r="N140" s="13">
        <v>0.0</v>
      </c>
    </row>
    <row r="141" ht="14.25" customHeight="1">
      <c r="A141" s="13" t="s">
        <v>790</v>
      </c>
      <c r="B141" s="13" t="s">
        <v>791</v>
      </c>
      <c r="C141" s="13">
        <v>50.0</v>
      </c>
      <c r="D141" s="13">
        <v>138.0</v>
      </c>
      <c r="E141" s="13">
        <v>69.0</v>
      </c>
      <c r="F141" s="5" t="s">
        <v>250</v>
      </c>
      <c r="G141" s="13">
        <v>12.0</v>
      </c>
      <c r="H141" s="13">
        <v>20.0</v>
      </c>
      <c r="I141" s="13">
        <f t="shared" si="11"/>
        <v>0.005992514033</v>
      </c>
      <c r="J141" s="13"/>
      <c r="K141" s="13">
        <f t="shared" si="12"/>
        <v>0.1198502807</v>
      </c>
      <c r="L141" s="13">
        <v>0.0</v>
      </c>
      <c r="M141" s="13">
        <v>0.0</v>
      </c>
      <c r="N141" s="13">
        <v>0.0</v>
      </c>
    </row>
    <row r="142" ht="14.25" customHeight="1">
      <c r="A142" s="13" t="s">
        <v>792</v>
      </c>
      <c r="B142" s="13" t="s">
        <v>791</v>
      </c>
      <c r="C142" s="13">
        <v>50.0</v>
      </c>
      <c r="D142" s="13">
        <v>138.0</v>
      </c>
      <c r="E142" s="13">
        <v>69.0</v>
      </c>
      <c r="F142" s="5" t="s">
        <v>250</v>
      </c>
      <c r="G142" s="13">
        <v>12.0</v>
      </c>
      <c r="H142" s="13">
        <v>20.0</v>
      </c>
      <c r="I142" s="13">
        <f t="shared" si="11"/>
        <v>0.005992514033</v>
      </c>
      <c r="J142" s="13"/>
      <c r="K142" s="13">
        <f t="shared" si="12"/>
        <v>0.1198502807</v>
      </c>
      <c r="L142" s="13">
        <v>0.0</v>
      </c>
      <c r="M142" s="13">
        <v>0.0</v>
      </c>
      <c r="N142" s="13">
        <v>0.0</v>
      </c>
    </row>
    <row r="143" ht="14.25" customHeight="1">
      <c r="A143" s="13" t="s">
        <v>793</v>
      </c>
      <c r="B143" s="13" t="s">
        <v>791</v>
      </c>
      <c r="C143" s="13">
        <v>50.0</v>
      </c>
      <c r="D143" s="13">
        <v>138.0</v>
      </c>
      <c r="E143" s="13">
        <v>69.0</v>
      </c>
      <c r="F143" s="5" t="s">
        <v>250</v>
      </c>
      <c r="G143" s="13">
        <v>12.0</v>
      </c>
      <c r="H143" s="13">
        <v>20.0</v>
      </c>
      <c r="I143" s="13">
        <f t="shared" si="11"/>
        <v>0.005992514033</v>
      </c>
      <c r="J143" s="13"/>
      <c r="K143" s="13">
        <f t="shared" si="12"/>
        <v>0.1198502807</v>
      </c>
      <c r="L143" s="13">
        <v>0.0</v>
      </c>
      <c r="M143" s="13">
        <v>0.0</v>
      </c>
      <c r="N143" s="13">
        <v>0.0</v>
      </c>
    </row>
    <row r="144" ht="14.25" customHeight="1">
      <c r="A144" s="13" t="s">
        <v>794</v>
      </c>
      <c r="B144" s="13" t="s">
        <v>795</v>
      </c>
      <c r="C144" s="13">
        <v>50.0</v>
      </c>
      <c r="D144" s="13">
        <v>138.0</v>
      </c>
      <c r="E144" s="13">
        <v>69.0</v>
      </c>
      <c r="F144" s="5" t="s">
        <v>250</v>
      </c>
      <c r="G144" s="13">
        <v>12.0</v>
      </c>
      <c r="H144" s="13">
        <v>20.0</v>
      </c>
      <c r="I144" s="13">
        <f t="shared" si="11"/>
        <v>0.005992514033</v>
      </c>
      <c r="J144" s="13"/>
      <c r="K144" s="13">
        <f t="shared" si="12"/>
        <v>0.1198502807</v>
      </c>
      <c r="L144" s="13">
        <v>0.0</v>
      </c>
      <c r="M144" s="13">
        <v>0.0</v>
      </c>
      <c r="N144" s="13">
        <v>0.0</v>
      </c>
    </row>
    <row r="145" ht="14.25" customHeight="1">
      <c r="A145" s="13" t="s">
        <v>796</v>
      </c>
      <c r="B145" s="13" t="s">
        <v>797</v>
      </c>
      <c r="C145" s="13">
        <v>12.5</v>
      </c>
      <c r="D145" s="13">
        <v>138.0</v>
      </c>
      <c r="E145" s="13">
        <v>34.5</v>
      </c>
      <c r="F145" s="5" t="s">
        <v>250</v>
      </c>
      <c r="G145" s="13">
        <v>12.0</v>
      </c>
      <c r="H145" s="13">
        <v>10.0</v>
      </c>
      <c r="I145" s="13">
        <f t="shared" si="11"/>
        <v>0.01194044628</v>
      </c>
      <c r="J145" s="13"/>
      <c r="K145" s="13">
        <f t="shared" si="12"/>
        <v>0.1194044628</v>
      </c>
      <c r="L145" s="13">
        <v>0.0</v>
      </c>
      <c r="M145" s="13">
        <v>0.0</v>
      </c>
      <c r="N145" s="13">
        <v>0.0</v>
      </c>
    </row>
    <row r="146" ht="14.25" customHeight="1">
      <c r="A146" s="13" t="s">
        <v>798</v>
      </c>
      <c r="B146" s="13" t="s">
        <v>797</v>
      </c>
      <c r="C146" s="13">
        <v>60.0</v>
      </c>
      <c r="D146" s="13">
        <v>138.0</v>
      </c>
      <c r="E146" s="13">
        <v>13.8</v>
      </c>
      <c r="F146" s="5" t="s">
        <v>250</v>
      </c>
      <c r="G146" s="13">
        <v>12.0</v>
      </c>
      <c r="H146" s="13">
        <v>20.0</v>
      </c>
      <c r="I146" s="13">
        <f t="shared" si="11"/>
        <v>0.005992514033</v>
      </c>
      <c r="J146" s="13"/>
      <c r="K146" s="13">
        <f t="shared" si="12"/>
        <v>0.1198502807</v>
      </c>
      <c r="L146" s="13">
        <v>0.0</v>
      </c>
      <c r="M146" s="13">
        <v>0.0</v>
      </c>
      <c r="N146" s="13">
        <v>0.0</v>
      </c>
    </row>
    <row r="147" ht="14.25" customHeight="1">
      <c r="A147" s="13" t="s">
        <v>799</v>
      </c>
      <c r="B147" s="13" t="s">
        <v>797</v>
      </c>
      <c r="C147" s="13">
        <v>60.0</v>
      </c>
      <c r="D147" s="13">
        <v>138.0</v>
      </c>
      <c r="E147" s="13">
        <v>13.8</v>
      </c>
      <c r="F147" s="5" t="s">
        <v>250</v>
      </c>
      <c r="G147" s="13">
        <v>12.0</v>
      </c>
      <c r="H147" s="13">
        <v>20.0</v>
      </c>
      <c r="I147" s="13">
        <f t="shared" si="11"/>
        <v>0.005992514033</v>
      </c>
      <c r="J147" s="13"/>
      <c r="K147" s="13">
        <f t="shared" si="12"/>
        <v>0.1198502807</v>
      </c>
      <c r="L147" s="13">
        <v>0.0</v>
      </c>
      <c r="M147" s="13">
        <v>0.0</v>
      </c>
      <c r="N147" s="13">
        <v>0.0</v>
      </c>
    </row>
    <row r="148" ht="14.25" customHeight="1">
      <c r="A148" s="13" t="s">
        <v>800</v>
      </c>
      <c r="B148" s="13" t="s">
        <v>797</v>
      </c>
      <c r="C148" s="13">
        <v>47.0</v>
      </c>
      <c r="D148" s="13">
        <v>138.0</v>
      </c>
      <c r="E148" s="13">
        <v>13.8</v>
      </c>
      <c r="F148" s="5" t="s">
        <v>250</v>
      </c>
      <c r="G148" s="13">
        <v>12.0</v>
      </c>
      <c r="H148" s="13">
        <v>20.0</v>
      </c>
      <c r="I148" s="13">
        <f t="shared" si="11"/>
        <v>0.005992514033</v>
      </c>
      <c r="J148" s="13"/>
      <c r="K148" s="13">
        <f t="shared" si="12"/>
        <v>0.1198502807</v>
      </c>
      <c r="L148" s="13">
        <v>0.0</v>
      </c>
      <c r="M148" s="13">
        <v>0.0</v>
      </c>
      <c r="N148" s="13">
        <v>0.0</v>
      </c>
    </row>
    <row r="149" ht="14.25" customHeight="1">
      <c r="A149" s="13" t="s">
        <v>801</v>
      </c>
      <c r="B149" s="13" t="s">
        <v>797</v>
      </c>
      <c r="C149" s="13">
        <v>14.0</v>
      </c>
      <c r="D149" s="13">
        <v>138.0</v>
      </c>
      <c r="E149" s="13">
        <v>4.16</v>
      </c>
      <c r="F149" s="5" t="s">
        <v>250</v>
      </c>
      <c r="G149" s="13">
        <v>9.0</v>
      </c>
      <c r="H149" s="13">
        <v>10.0</v>
      </c>
      <c r="I149" s="13">
        <f t="shared" si="11"/>
        <v>0.008955334712</v>
      </c>
      <c r="J149" s="13"/>
      <c r="K149" s="13">
        <f t="shared" si="12"/>
        <v>0.08955334712</v>
      </c>
      <c r="L149" s="13">
        <v>0.0</v>
      </c>
      <c r="M149" s="13">
        <v>0.0</v>
      </c>
      <c r="N149" s="13">
        <v>0.0</v>
      </c>
    </row>
    <row r="150" ht="14.25" customHeight="1">
      <c r="A150" s="13" t="s">
        <v>802</v>
      </c>
      <c r="B150" s="13" t="s">
        <v>797</v>
      </c>
      <c r="C150" s="13">
        <v>14.0</v>
      </c>
      <c r="D150" s="13">
        <v>138.0</v>
      </c>
      <c r="E150" s="13">
        <v>4.16</v>
      </c>
      <c r="F150" s="5" t="s">
        <v>250</v>
      </c>
      <c r="G150" s="13">
        <v>9.0</v>
      </c>
      <c r="H150" s="13">
        <v>10.0</v>
      </c>
      <c r="I150" s="13">
        <f t="shared" si="11"/>
        <v>0.008955334712</v>
      </c>
      <c r="J150" s="13"/>
      <c r="K150" s="13">
        <f t="shared" si="12"/>
        <v>0.08955334712</v>
      </c>
      <c r="L150" s="13">
        <v>0.0</v>
      </c>
      <c r="M150" s="13">
        <v>0.0</v>
      </c>
      <c r="N150" s="13">
        <v>0.0</v>
      </c>
    </row>
    <row r="151" ht="14.25" customHeight="1">
      <c r="A151" s="13" t="s">
        <v>803</v>
      </c>
      <c r="B151" s="13" t="s">
        <v>364</v>
      </c>
      <c r="C151" s="13">
        <v>150.0</v>
      </c>
      <c r="D151" s="13">
        <v>230.0</v>
      </c>
      <c r="E151" s="13">
        <v>138.0</v>
      </c>
      <c r="F151" s="5" t="s">
        <v>250</v>
      </c>
      <c r="G151" s="13">
        <v>16.0</v>
      </c>
      <c r="H151" s="13">
        <v>30.0</v>
      </c>
      <c r="I151" s="13">
        <f t="shared" si="11"/>
        <v>0.005330372837</v>
      </c>
      <c r="J151" s="13"/>
      <c r="K151" s="13">
        <f t="shared" si="12"/>
        <v>0.1599111851</v>
      </c>
      <c r="L151" s="13">
        <v>0.0</v>
      </c>
      <c r="M151" s="13">
        <v>0.0</v>
      </c>
      <c r="N151" s="13">
        <v>0.0</v>
      </c>
    </row>
    <row r="152" ht="14.25" customHeight="1">
      <c r="A152" s="13" t="s">
        <v>804</v>
      </c>
      <c r="B152" s="13" t="s">
        <v>364</v>
      </c>
      <c r="C152" s="13">
        <v>50.0</v>
      </c>
      <c r="D152" s="13">
        <v>230.0</v>
      </c>
      <c r="E152" s="13">
        <v>138.0</v>
      </c>
      <c r="F152" s="5" t="s">
        <v>250</v>
      </c>
      <c r="G152" s="13">
        <v>16.0</v>
      </c>
      <c r="H152" s="13">
        <v>20.0</v>
      </c>
      <c r="I152" s="13">
        <f t="shared" si="11"/>
        <v>0.007990018711</v>
      </c>
      <c r="J152" s="13"/>
      <c r="K152" s="13">
        <f t="shared" si="12"/>
        <v>0.1598003742</v>
      </c>
      <c r="L152" s="13">
        <v>0.0</v>
      </c>
      <c r="M152" s="13">
        <v>0.0</v>
      </c>
      <c r="N152" s="13">
        <v>0.0</v>
      </c>
    </row>
    <row r="153" ht="14.25" customHeight="1">
      <c r="A153" s="13" t="s">
        <v>805</v>
      </c>
      <c r="B153" s="13" t="s">
        <v>364</v>
      </c>
      <c r="C153" s="13">
        <v>150.0</v>
      </c>
      <c r="D153" s="13">
        <v>230.0</v>
      </c>
      <c r="E153" s="13">
        <v>138.0</v>
      </c>
      <c r="F153" s="5" t="s">
        <v>250</v>
      </c>
      <c r="G153" s="13">
        <v>16.0</v>
      </c>
      <c r="H153" s="13">
        <v>30.0</v>
      </c>
      <c r="I153" s="13">
        <f t="shared" si="11"/>
        <v>0.005330372837</v>
      </c>
      <c r="J153" s="13"/>
      <c r="K153" s="13">
        <f t="shared" si="12"/>
        <v>0.1599111851</v>
      </c>
      <c r="L153" s="13">
        <v>0.0</v>
      </c>
      <c r="M153" s="13">
        <v>0.0</v>
      </c>
      <c r="N153" s="13">
        <v>0.0</v>
      </c>
    </row>
    <row r="154" ht="14.25" customHeight="1">
      <c r="A154" s="13" t="s">
        <v>806</v>
      </c>
      <c r="B154" s="13" t="s">
        <v>364</v>
      </c>
      <c r="C154" s="13">
        <v>150.0</v>
      </c>
      <c r="D154" s="13">
        <v>230.0</v>
      </c>
      <c r="E154" s="13">
        <v>138.0</v>
      </c>
      <c r="F154" s="5" t="s">
        <v>250</v>
      </c>
      <c r="G154" s="13">
        <v>16.0</v>
      </c>
      <c r="H154" s="13">
        <v>30.0</v>
      </c>
      <c r="I154" s="13">
        <f t="shared" si="11"/>
        <v>0.005330372837</v>
      </c>
      <c r="J154" s="13"/>
      <c r="K154" s="13">
        <f t="shared" si="12"/>
        <v>0.1599111851</v>
      </c>
      <c r="L154" s="13">
        <v>0.0</v>
      </c>
      <c r="M154" s="13">
        <v>0.0</v>
      </c>
      <c r="N154" s="13">
        <v>0.0</v>
      </c>
    </row>
    <row r="155" ht="14.25" customHeight="1">
      <c r="A155" s="13" t="s">
        <v>807</v>
      </c>
      <c r="B155" s="13" t="s">
        <v>364</v>
      </c>
      <c r="C155" s="13">
        <v>100.0</v>
      </c>
      <c r="D155" s="13">
        <v>138.0</v>
      </c>
      <c r="E155" s="13">
        <v>69.0</v>
      </c>
      <c r="F155" s="5" t="s">
        <v>250</v>
      </c>
      <c r="G155" s="13">
        <v>12.0</v>
      </c>
      <c r="H155" s="13">
        <v>25.0</v>
      </c>
      <c r="I155" s="13">
        <f t="shared" si="11"/>
        <v>0.004796164602</v>
      </c>
      <c r="J155" s="13"/>
      <c r="K155" s="13">
        <f t="shared" si="12"/>
        <v>0.119904115</v>
      </c>
      <c r="L155" s="13">
        <v>0.0</v>
      </c>
      <c r="M155" s="13">
        <v>0.0</v>
      </c>
      <c r="N155" s="13">
        <v>0.0</v>
      </c>
    </row>
    <row r="156" ht="14.25" customHeight="1">
      <c r="A156" s="13" t="s">
        <v>808</v>
      </c>
      <c r="B156" s="13" t="s">
        <v>364</v>
      </c>
      <c r="C156" s="13">
        <v>100.0</v>
      </c>
      <c r="D156" s="13">
        <v>138.0</v>
      </c>
      <c r="E156" s="13">
        <v>69.0</v>
      </c>
      <c r="F156" s="5" t="s">
        <v>250</v>
      </c>
      <c r="G156" s="13">
        <v>12.0</v>
      </c>
      <c r="H156" s="13">
        <v>25.0</v>
      </c>
      <c r="I156" s="13">
        <f t="shared" si="11"/>
        <v>0.004796164602</v>
      </c>
      <c r="J156" s="13"/>
      <c r="K156" s="13">
        <f t="shared" si="12"/>
        <v>0.119904115</v>
      </c>
      <c r="L156" s="13">
        <v>0.0</v>
      </c>
      <c r="M156" s="13">
        <v>0.0</v>
      </c>
      <c r="N156" s="13">
        <v>0.0</v>
      </c>
    </row>
    <row r="157" ht="14.25" customHeight="1">
      <c r="A157" s="13" t="s">
        <v>809</v>
      </c>
      <c r="B157" s="13" t="s">
        <v>379</v>
      </c>
      <c r="C157" s="13">
        <v>50.0</v>
      </c>
      <c r="D157" s="13">
        <v>138.0</v>
      </c>
      <c r="E157" s="13">
        <v>69.0</v>
      </c>
      <c r="F157" s="5" t="s">
        <v>250</v>
      </c>
      <c r="G157" s="13">
        <v>12.0</v>
      </c>
      <c r="H157" s="13">
        <v>20.0</v>
      </c>
      <c r="I157" s="13">
        <f t="shared" si="11"/>
        <v>0.005992514033</v>
      </c>
      <c r="J157" s="13"/>
      <c r="K157" s="13">
        <f t="shared" si="12"/>
        <v>0.1198502807</v>
      </c>
      <c r="L157" s="13">
        <v>0.0</v>
      </c>
      <c r="M157" s="13">
        <v>0.0</v>
      </c>
      <c r="N157" s="13">
        <v>0.0</v>
      </c>
    </row>
    <row r="158" ht="14.25" customHeight="1">
      <c r="A158" s="13" t="s">
        <v>810</v>
      </c>
      <c r="B158" s="13" t="s">
        <v>811</v>
      </c>
      <c r="C158" s="13">
        <v>50.0</v>
      </c>
      <c r="D158" s="13">
        <v>138.0</v>
      </c>
      <c r="E158" s="13">
        <v>69.0</v>
      </c>
      <c r="F158" s="5" t="s">
        <v>250</v>
      </c>
      <c r="G158" s="13">
        <v>12.0</v>
      </c>
      <c r="H158" s="13">
        <v>20.0</v>
      </c>
      <c r="I158" s="13">
        <f t="shared" si="11"/>
        <v>0.005992514033</v>
      </c>
      <c r="J158" s="13"/>
      <c r="K158" s="13">
        <f t="shared" si="12"/>
        <v>0.1198502807</v>
      </c>
      <c r="L158" s="13">
        <v>0.0</v>
      </c>
      <c r="M158" s="13">
        <v>0.0</v>
      </c>
      <c r="N158" s="13">
        <v>0.0</v>
      </c>
    </row>
    <row r="159" ht="14.25" customHeight="1">
      <c r="A159" s="13" t="s">
        <v>812</v>
      </c>
      <c r="B159" s="13" t="s">
        <v>811</v>
      </c>
      <c r="C159" s="13">
        <v>50.0</v>
      </c>
      <c r="D159" s="13">
        <v>138.0</v>
      </c>
      <c r="E159" s="13">
        <v>69.0</v>
      </c>
      <c r="F159" s="5" t="s">
        <v>250</v>
      </c>
      <c r="G159" s="13">
        <v>12.0</v>
      </c>
      <c r="H159" s="13">
        <v>20.0</v>
      </c>
      <c r="I159" s="13">
        <f t="shared" si="11"/>
        <v>0.005992514033</v>
      </c>
      <c r="J159" s="13"/>
      <c r="K159" s="13">
        <f t="shared" si="12"/>
        <v>0.1198502807</v>
      </c>
      <c r="L159" s="13">
        <v>0.0</v>
      </c>
      <c r="M159" s="13">
        <v>0.0</v>
      </c>
      <c r="N159" s="13">
        <v>0.0</v>
      </c>
    </row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72:N72"/>
    <mergeCell ref="A122:N122"/>
    <mergeCell ref="A131:N131"/>
    <mergeCell ref="A1:A2"/>
    <mergeCell ref="B1:B2"/>
    <mergeCell ref="C1:C2"/>
    <mergeCell ref="D1:F1"/>
    <mergeCell ref="G1:N1"/>
    <mergeCell ref="A3:N3"/>
    <mergeCell ref="A34:N3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3.43"/>
    <col customWidth="1" min="3" max="3" width="7.0"/>
    <col customWidth="1" min="4" max="4" width="19.71"/>
    <col customWidth="1" min="5" max="5" width="8.71"/>
  </cols>
  <sheetData>
    <row r="1" ht="14.25" customHeight="1">
      <c r="A1" s="28" t="s">
        <v>637</v>
      </c>
      <c r="B1" s="28" t="s">
        <v>3</v>
      </c>
      <c r="C1" s="28" t="s">
        <v>813</v>
      </c>
      <c r="D1" s="27" t="s">
        <v>814</v>
      </c>
      <c r="E1" s="27" t="s">
        <v>427</v>
      </c>
    </row>
    <row r="2" ht="14.25" customHeight="1">
      <c r="A2" s="27" t="s">
        <v>13</v>
      </c>
    </row>
    <row r="3" ht="14.25" customHeight="1">
      <c r="A3" s="13" t="s">
        <v>815</v>
      </c>
      <c r="B3" s="13" t="s">
        <v>48</v>
      </c>
      <c r="C3" s="13">
        <v>69.0</v>
      </c>
      <c r="D3" s="13">
        <v>7.5</v>
      </c>
      <c r="E3" s="10" t="s">
        <v>816</v>
      </c>
    </row>
    <row r="4" ht="14.25" customHeight="1">
      <c r="A4" s="13" t="s">
        <v>817</v>
      </c>
      <c r="B4" s="13" t="s">
        <v>654</v>
      </c>
      <c r="C4" s="13">
        <v>69.0</v>
      </c>
      <c r="D4" s="13">
        <v>7.5</v>
      </c>
      <c r="E4" s="10" t="s">
        <v>816</v>
      </c>
    </row>
    <row r="5" ht="14.25" customHeight="1">
      <c r="A5" s="13" t="s">
        <v>818</v>
      </c>
      <c r="B5" s="13" t="s">
        <v>654</v>
      </c>
      <c r="C5" s="13">
        <v>69.0</v>
      </c>
      <c r="D5" s="13">
        <v>7.5</v>
      </c>
      <c r="E5" s="10" t="s">
        <v>816</v>
      </c>
    </row>
    <row r="6" ht="14.25" customHeight="1">
      <c r="A6" s="13" t="s">
        <v>819</v>
      </c>
      <c r="B6" s="13" t="s">
        <v>465</v>
      </c>
      <c r="C6" s="13">
        <v>69.0</v>
      </c>
      <c r="D6" s="13">
        <v>5.0</v>
      </c>
      <c r="E6" s="10" t="s">
        <v>816</v>
      </c>
    </row>
    <row r="7" ht="14.25" customHeight="1">
      <c r="A7" s="13" t="s">
        <v>820</v>
      </c>
      <c r="B7" s="13" t="s">
        <v>458</v>
      </c>
      <c r="C7" s="13">
        <v>69.0</v>
      </c>
      <c r="D7" s="13">
        <v>10.0</v>
      </c>
      <c r="E7" s="10" t="s">
        <v>816</v>
      </c>
    </row>
    <row r="8" ht="14.25" customHeight="1">
      <c r="A8" s="13" t="s">
        <v>821</v>
      </c>
      <c r="B8" s="13" t="s">
        <v>458</v>
      </c>
      <c r="C8" s="13">
        <v>69.0</v>
      </c>
      <c r="D8" s="13">
        <v>10.0</v>
      </c>
      <c r="E8" s="10" t="s">
        <v>816</v>
      </c>
    </row>
    <row r="9" ht="14.25" customHeight="1">
      <c r="A9" s="13" t="s">
        <v>822</v>
      </c>
      <c r="B9" s="13" t="s">
        <v>452</v>
      </c>
      <c r="C9" s="13">
        <v>138.0</v>
      </c>
      <c r="D9" s="13">
        <v>40.0</v>
      </c>
      <c r="E9" s="10" t="s">
        <v>823</v>
      </c>
    </row>
    <row r="10" ht="14.25" customHeight="1">
      <c r="A10" s="27" t="s">
        <v>102</v>
      </c>
    </row>
    <row r="11" ht="14.25" customHeight="1">
      <c r="A11" s="13" t="s">
        <v>824</v>
      </c>
      <c r="B11" s="13" t="s">
        <v>480</v>
      </c>
      <c r="C11" s="13">
        <v>69.0</v>
      </c>
      <c r="D11" s="13">
        <v>18.0</v>
      </c>
      <c r="E11" s="10" t="s">
        <v>816</v>
      </c>
    </row>
    <row r="12" ht="14.25" customHeight="1">
      <c r="A12" s="13" t="s">
        <v>825</v>
      </c>
      <c r="B12" s="13" t="s">
        <v>480</v>
      </c>
      <c r="C12" s="13">
        <v>69.0</v>
      </c>
      <c r="D12" s="13">
        <v>7.5</v>
      </c>
      <c r="E12" s="10" t="s">
        <v>816</v>
      </c>
    </row>
    <row r="13" ht="14.25" customHeight="1">
      <c r="A13" s="13" t="s">
        <v>826</v>
      </c>
      <c r="B13" s="13" t="s">
        <v>480</v>
      </c>
      <c r="C13" s="13">
        <v>69.0</v>
      </c>
      <c r="D13" s="13">
        <v>5.4</v>
      </c>
      <c r="E13" s="10" t="s">
        <v>816</v>
      </c>
    </row>
    <row r="14" ht="14.25" customHeight="1">
      <c r="A14" s="13" t="s">
        <v>827</v>
      </c>
      <c r="B14" s="13" t="s">
        <v>480</v>
      </c>
      <c r="C14" s="13">
        <v>69.0</v>
      </c>
      <c r="D14" s="13">
        <v>5.4</v>
      </c>
      <c r="E14" s="10" t="s">
        <v>816</v>
      </c>
    </row>
    <row r="15" ht="14.25" customHeight="1">
      <c r="A15" s="13" t="s">
        <v>828</v>
      </c>
      <c r="B15" s="13" t="s">
        <v>480</v>
      </c>
      <c r="C15" s="13">
        <v>69.0</v>
      </c>
      <c r="D15" s="13">
        <v>10.0</v>
      </c>
      <c r="E15" s="10" t="s">
        <v>816</v>
      </c>
    </row>
    <row r="16" ht="14.25" customHeight="1">
      <c r="A16" s="13" t="s">
        <v>829</v>
      </c>
      <c r="B16" s="13" t="s">
        <v>480</v>
      </c>
      <c r="C16" s="13">
        <v>69.0</v>
      </c>
      <c r="D16" s="13">
        <v>7.5</v>
      </c>
      <c r="E16" s="10" t="s">
        <v>816</v>
      </c>
    </row>
    <row r="17" ht="14.25" customHeight="1">
      <c r="A17" s="13" t="s">
        <v>830</v>
      </c>
      <c r="B17" s="13" t="s">
        <v>109</v>
      </c>
      <c r="C17" s="13">
        <v>69.0</v>
      </c>
      <c r="D17" s="13">
        <v>7.5</v>
      </c>
      <c r="E17" s="10" t="s">
        <v>816</v>
      </c>
    </row>
    <row r="18" ht="14.25" customHeight="1">
      <c r="A18" s="13" t="s">
        <v>831</v>
      </c>
      <c r="B18" s="13" t="s">
        <v>109</v>
      </c>
      <c r="C18" s="13">
        <v>69.0</v>
      </c>
      <c r="D18" s="13">
        <v>5.0</v>
      </c>
      <c r="E18" s="10" t="s">
        <v>816</v>
      </c>
    </row>
    <row r="19" ht="14.25" customHeight="1">
      <c r="A19" s="13" t="s">
        <v>832</v>
      </c>
      <c r="B19" s="13" t="s">
        <v>109</v>
      </c>
      <c r="C19" s="13">
        <v>69.0</v>
      </c>
      <c r="D19" s="13">
        <v>5.0</v>
      </c>
      <c r="E19" s="10" t="s">
        <v>816</v>
      </c>
    </row>
    <row r="20" ht="14.25" customHeight="1">
      <c r="A20" s="13" t="s">
        <v>833</v>
      </c>
      <c r="B20" s="13" t="s">
        <v>205</v>
      </c>
      <c r="C20" s="13">
        <v>69.0</v>
      </c>
      <c r="D20" s="13">
        <v>7.5</v>
      </c>
      <c r="E20" s="10" t="s">
        <v>816</v>
      </c>
    </row>
    <row r="21" ht="14.25" customHeight="1">
      <c r="A21" s="13" t="s">
        <v>834</v>
      </c>
      <c r="B21" s="13" t="s">
        <v>205</v>
      </c>
      <c r="C21" s="13">
        <v>69.0</v>
      </c>
      <c r="D21" s="13">
        <v>7.5</v>
      </c>
      <c r="E21" s="10" t="s">
        <v>816</v>
      </c>
    </row>
    <row r="22" ht="14.25" customHeight="1">
      <c r="A22" s="13" t="s">
        <v>835</v>
      </c>
      <c r="B22" s="13" t="s">
        <v>480</v>
      </c>
      <c r="C22" s="13">
        <v>138.0</v>
      </c>
      <c r="D22" s="13">
        <v>30.0</v>
      </c>
      <c r="E22" s="10" t="s">
        <v>823</v>
      </c>
    </row>
    <row r="23" ht="14.25" customHeight="1">
      <c r="A23" s="13" t="s">
        <v>836</v>
      </c>
      <c r="B23" s="13" t="s">
        <v>247</v>
      </c>
      <c r="C23" s="13">
        <v>230.0</v>
      </c>
      <c r="D23" s="13">
        <v>70.0</v>
      </c>
      <c r="E23" s="10" t="s">
        <v>823</v>
      </c>
    </row>
    <row r="24" ht="14.25" customHeight="1">
      <c r="A24" s="13" t="s">
        <v>837</v>
      </c>
      <c r="B24" s="13" t="s">
        <v>247</v>
      </c>
      <c r="C24" s="13">
        <v>230.0</v>
      </c>
      <c r="D24" s="13">
        <v>70.0</v>
      </c>
      <c r="E24" s="10" t="s">
        <v>823</v>
      </c>
    </row>
    <row r="25" ht="14.25" customHeight="1">
      <c r="A25" s="13" t="s">
        <v>838</v>
      </c>
      <c r="B25" s="13" t="s">
        <v>205</v>
      </c>
      <c r="C25" s="13">
        <v>138.0</v>
      </c>
      <c r="D25" s="13">
        <v>40.0</v>
      </c>
      <c r="E25" s="10" t="s">
        <v>823</v>
      </c>
    </row>
    <row r="26" ht="14.25" customHeight="1">
      <c r="A26" s="13" t="s">
        <v>839</v>
      </c>
      <c r="B26" s="13" t="s">
        <v>205</v>
      </c>
      <c r="C26" s="13">
        <v>138.0</v>
      </c>
      <c r="D26" s="13">
        <v>20.0</v>
      </c>
      <c r="E26" s="10" t="s">
        <v>823</v>
      </c>
    </row>
    <row r="27" ht="14.25" customHeight="1">
      <c r="A27" s="13" t="s">
        <v>840</v>
      </c>
      <c r="B27" s="13" t="s">
        <v>205</v>
      </c>
      <c r="C27" s="13">
        <v>139.0</v>
      </c>
      <c r="D27" s="13">
        <v>20.0</v>
      </c>
      <c r="E27" s="10" t="s">
        <v>823</v>
      </c>
    </row>
    <row r="28" ht="14.25" customHeight="1">
      <c r="A28" s="27" t="s">
        <v>248</v>
      </c>
    </row>
    <row r="29" ht="14.25" customHeight="1">
      <c r="A29" s="13" t="s">
        <v>841</v>
      </c>
      <c r="B29" s="13" t="s">
        <v>570</v>
      </c>
      <c r="C29" s="13">
        <v>138.0</v>
      </c>
      <c r="D29" s="13">
        <v>20.0</v>
      </c>
      <c r="E29" s="10" t="s">
        <v>816</v>
      </c>
    </row>
    <row r="30" ht="14.25" customHeight="1">
      <c r="A30" s="13" t="s">
        <v>842</v>
      </c>
      <c r="B30" s="13" t="s">
        <v>570</v>
      </c>
      <c r="C30" s="13">
        <v>138.0</v>
      </c>
      <c r="D30" s="13">
        <v>20.0</v>
      </c>
      <c r="E30" s="10" t="s">
        <v>816</v>
      </c>
    </row>
    <row r="31" ht="14.25" customHeight="1">
      <c r="A31" s="13" t="s">
        <v>843</v>
      </c>
      <c r="B31" s="13" t="s">
        <v>528</v>
      </c>
      <c r="C31" s="13">
        <v>138.0</v>
      </c>
      <c r="D31" s="13">
        <v>20.0</v>
      </c>
      <c r="E31" s="10" t="s">
        <v>816</v>
      </c>
    </row>
    <row r="32" ht="14.25" customHeight="1">
      <c r="A32" s="13" t="s">
        <v>844</v>
      </c>
      <c r="B32" s="13" t="s">
        <v>528</v>
      </c>
      <c r="C32" s="13">
        <v>138.0</v>
      </c>
      <c r="D32" s="13">
        <v>20.0</v>
      </c>
      <c r="E32" s="10" t="s">
        <v>816</v>
      </c>
    </row>
    <row r="33" ht="14.25" customHeight="1">
      <c r="A33" s="13" t="s">
        <v>845</v>
      </c>
      <c r="B33" s="13" t="s">
        <v>528</v>
      </c>
      <c r="C33" s="13">
        <v>69.0</v>
      </c>
      <c r="D33" s="13">
        <v>7.5</v>
      </c>
      <c r="E33" s="10" t="s">
        <v>816</v>
      </c>
    </row>
    <row r="34" ht="14.25" customHeight="1">
      <c r="A34" s="13" t="s">
        <v>846</v>
      </c>
      <c r="B34" s="13" t="s">
        <v>574</v>
      </c>
      <c r="C34" s="13">
        <v>69.0</v>
      </c>
      <c r="D34" s="13">
        <v>7.5</v>
      </c>
      <c r="E34" s="10" t="s">
        <v>816</v>
      </c>
    </row>
    <row r="35" ht="14.25" customHeight="1">
      <c r="A35" s="13" t="s">
        <v>847</v>
      </c>
      <c r="B35" s="13" t="s">
        <v>574</v>
      </c>
      <c r="C35" s="13">
        <v>69.0</v>
      </c>
      <c r="D35" s="13">
        <v>7.5</v>
      </c>
      <c r="E35" s="10" t="s">
        <v>816</v>
      </c>
    </row>
    <row r="36" ht="14.25" customHeight="1">
      <c r="A36" s="13" t="s">
        <v>848</v>
      </c>
      <c r="B36" s="13" t="s">
        <v>580</v>
      </c>
      <c r="C36" s="13">
        <v>230.0</v>
      </c>
      <c r="D36" s="13">
        <v>30.0</v>
      </c>
      <c r="E36" s="10" t="s">
        <v>823</v>
      </c>
    </row>
    <row r="37" ht="14.25" customHeight="1">
      <c r="A37" s="13" t="s">
        <v>849</v>
      </c>
      <c r="B37" s="13" t="s">
        <v>580</v>
      </c>
      <c r="C37" s="13">
        <v>230.0</v>
      </c>
      <c r="D37" s="13">
        <v>50.0</v>
      </c>
      <c r="E37" s="10" t="s">
        <v>823</v>
      </c>
    </row>
    <row r="38" ht="14.25" customHeight="1">
      <c r="A38" s="13" t="s">
        <v>850</v>
      </c>
      <c r="B38" s="13" t="s">
        <v>580</v>
      </c>
      <c r="C38" s="13">
        <v>230.0</v>
      </c>
      <c r="D38" s="13">
        <v>30.0</v>
      </c>
      <c r="E38" s="10" t="s">
        <v>823</v>
      </c>
    </row>
    <row r="39" ht="14.25" customHeight="1">
      <c r="A39" s="13" t="s">
        <v>851</v>
      </c>
      <c r="B39" s="13" t="s">
        <v>580</v>
      </c>
      <c r="C39" s="13">
        <v>230.0</v>
      </c>
      <c r="D39" s="13">
        <v>30.0</v>
      </c>
      <c r="E39" s="10" t="s">
        <v>823</v>
      </c>
    </row>
    <row r="40" ht="14.25" customHeight="1">
      <c r="A40" s="13" t="s">
        <v>852</v>
      </c>
      <c r="B40" s="13" t="s">
        <v>580</v>
      </c>
      <c r="C40" s="13">
        <v>230.0</v>
      </c>
      <c r="D40" s="13">
        <v>50.0</v>
      </c>
      <c r="E40" s="10" t="s">
        <v>823</v>
      </c>
    </row>
    <row r="41" ht="14.25" customHeight="1">
      <c r="A41" s="13" t="s">
        <v>853</v>
      </c>
      <c r="B41" s="13" t="s">
        <v>570</v>
      </c>
      <c r="C41" s="13">
        <v>230.0</v>
      </c>
      <c r="D41" s="13">
        <v>30.0</v>
      </c>
      <c r="E41" s="10" t="s">
        <v>823</v>
      </c>
    </row>
    <row r="42" ht="14.25" customHeight="1">
      <c r="A42" s="13" t="s">
        <v>854</v>
      </c>
      <c r="B42" s="13" t="s">
        <v>519</v>
      </c>
      <c r="C42" s="13">
        <v>230.0</v>
      </c>
      <c r="D42" s="13">
        <v>70.0</v>
      </c>
      <c r="E42" s="10" t="s">
        <v>823</v>
      </c>
    </row>
    <row r="43" ht="14.25" customHeight="1">
      <c r="A43" s="13" t="s">
        <v>855</v>
      </c>
      <c r="B43" s="13" t="s">
        <v>519</v>
      </c>
      <c r="C43" s="13">
        <v>230.0</v>
      </c>
      <c r="D43" s="13">
        <v>70.0</v>
      </c>
      <c r="E43" s="10" t="s">
        <v>823</v>
      </c>
    </row>
    <row r="44" ht="14.25" customHeight="1">
      <c r="A44" s="13" t="s">
        <v>856</v>
      </c>
      <c r="B44" s="13" t="s">
        <v>525</v>
      </c>
      <c r="C44" s="13">
        <v>230.0</v>
      </c>
      <c r="D44" s="13">
        <v>70.0</v>
      </c>
      <c r="E44" s="10" t="s">
        <v>823</v>
      </c>
    </row>
    <row r="45" ht="14.25" customHeight="1">
      <c r="A45" s="13" t="s">
        <v>857</v>
      </c>
      <c r="B45" s="13" t="s">
        <v>525</v>
      </c>
      <c r="C45" s="13">
        <v>230.0</v>
      </c>
      <c r="D45" s="13">
        <v>70.0</v>
      </c>
      <c r="E45" s="10" t="s">
        <v>823</v>
      </c>
    </row>
    <row r="46" ht="14.25" customHeight="1">
      <c r="A46" s="27" t="s">
        <v>315</v>
      </c>
    </row>
    <row r="47" ht="14.25" customHeight="1">
      <c r="A47" s="13" t="s">
        <v>858</v>
      </c>
      <c r="B47" s="13" t="s">
        <v>769</v>
      </c>
      <c r="C47" s="13">
        <v>69.0</v>
      </c>
      <c r="D47" s="13">
        <v>5.0</v>
      </c>
      <c r="E47" s="10" t="s">
        <v>816</v>
      </c>
    </row>
    <row r="48" ht="14.25" customHeight="1">
      <c r="A48" s="13" t="s">
        <v>859</v>
      </c>
      <c r="B48" s="13" t="s">
        <v>769</v>
      </c>
      <c r="C48" s="13">
        <v>69.0</v>
      </c>
      <c r="D48" s="13">
        <v>5.0</v>
      </c>
      <c r="E48" s="10" t="s">
        <v>816</v>
      </c>
    </row>
    <row r="49" ht="14.25" customHeight="1">
      <c r="A49" s="13" t="s">
        <v>860</v>
      </c>
      <c r="B49" s="13" t="s">
        <v>769</v>
      </c>
      <c r="C49" s="13">
        <v>69.0</v>
      </c>
      <c r="D49" s="13">
        <v>5.0</v>
      </c>
      <c r="E49" s="10" t="s">
        <v>816</v>
      </c>
    </row>
    <row r="50" ht="14.25" customHeight="1">
      <c r="A50" s="13" t="s">
        <v>861</v>
      </c>
      <c r="B50" s="13" t="s">
        <v>769</v>
      </c>
      <c r="C50" s="13">
        <v>69.0</v>
      </c>
      <c r="D50" s="13">
        <v>2.5</v>
      </c>
      <c r="E50" s="10" t="s">
        <v>816</v>
      </c>
    </row>
    <row r="51" ht="14.25" customHeight="1">
      <c r="A51" s="13" t="s">
        <v>862</v>
      </c>
      <c r="B51" s="13" t="s">
        <v>769</v>
      </c>
      <c r="C51" s="13">
        <v>69.0</v>
      </c>
      <c r="D51" s="13">
        <v>5.0</v>
      </c>
      <c r="E51" s="10" t="s">
        <v>816</v>
      </c>
    </row>
    <row r="52" ht="14.25" customHeight="1">
      <c r="A52" s="13" t="s">
        <v>863</v>
      </c>
      <c r="B52" s="13" t="s">
        <v>769</v>
      </c>
      <c r="C52" s="13">
        <v>69.0</v>
      </c>
      <c r="D52" s="13">
        <v>7.5</v>
      </c>
      <c r="E52" s="10" t="s">
        <v>816</v>
      </c>
    </row>
    <row r="53" ht="14.25" customHeight="1">
      <c r="A53" s="13" t="s">
        <v>864</v>
      </c>
      <c r="B53" s="13" t="s">
        <v>769</v>
      </c>
      <c r="C53" s="13">
        <v>69.0</v>
      </c>
      <c r="D53" s="13">
        <v>5.0</v>
      </c>
      <c r="E53" s="10" t="s">
        <v>816</v>
      </c>
    </row>
    <row r="54" ht="14.25" customHeight="1">
      <c r="A54" s="13" t="s">
        <v>865</v>
      </c>
      <c r="B54" s="13" t="s">
        <v>769</v>
      </c>
      <c r="C54" s="13">
        <v>69.0</v>
      </c>
      <c r="D54" s="13">
        <v>5.0</v>
      </c>
      <c r="E54" s="10" t="s">
        <v>816</v>
      </c>
    </row>
    <row r="55" ht="14.25" customHeight="1">
      <c r="A55" s="13" t="s">
        <v>866</v>
      </c>
      <c r="B55" s="13" t="s">
        <v>320</v>
      </c>
      <c r="C55" s="13">
        <v>69.0</v>
      </c>
      <c r="D55" s="13">
        <v>5.0</v>
      </c>
      <c r="E55" s="10" t="s">
        <v>816</v>
      </c>
    </row>
    <row r="56" ht="14.25" customHeight="1">
      <c r="A56" s="13" t="s">
        <v>867</v>
      </c>
      <c r="B56" s="13" t="s">
        <v>320</v>
      </c>
      <c r="C56" s="13">
        <v>69.0</v>
      </c>
      <c r="D56" s="13">
        <v>5.0</v>
      </c>
      <c r="E56" s="10" t="s">
        <v>816</v>
      </c>
    </row>
    <row r="57" ht="14.25" customHeight="1">
      <c r="A57" s="13" t="s">
        <v>868</v>
      </c>
      <c r="B57" s="13" t="s">
        <v>320</v>
      </c>
      <c r="C57" s="13">
        <v>138.0</v>
      </c>
      <c r="D57" s="13">
        <v>15.0</v>
      </c>
      <c r="E57" s="10" t="s">
        <v>823</v>
      </c>
    </row>
    <row r="58" ht="14.25" customHeight="1">
      <c r="A58" s="13" t="s">
        <v>869</v>
      </c>
      <c r="B58" s="13" t="s">
        <v>769</v>
      </c>
      <c r="C58" s="13">
        <v>230.0</v>
      </c>
      <c r="D58" s="13">
        <v>70.0</v>
      </c>
      <c r="E58" s="10" t="s">
        <v>823</v>
      </c>
    </row>
    <row r="59" ht="14.25" customHeight="1">
      <c r="A59" s="13" t="s">
        <v>870</v>
      </c>
      <c r="B59" s="13" t="s">
        <v>769</v>
      </c>
      <c r="C59" s="13">
        <v>230.0</v>
      </c>
      <c r="D59" s="13">
        <v>70.0</v>
      </c>
      <c r="E59" s="10" t="s">
        <v>823</v>
      </c>
    </row>
    <row r="60" ht="14.25" customHeight="1">
      <c r="A60" s="27" t="s">
        <v>360</v>
      </c>
    </row>
    <row r="61" ht="14.25" customHeight="1">
      <c r="A61" s="13" t="s">
        <v>871</v>
      </c>
      <c r="B61" s="13" t="s">
        <v>786</v>
      </c>
      <c r="C61" s="13">
        <v>69.0</v>
      </c>
      <c r="D61" s="13">
        <v>7.5</v>
      </c>
      <c r="E61" s="10" t="s">
        <v>816</v>
      </c>
    </row>
    <row r="62" ht="14.25" customHeight="1">
      <c r="A62" s="13" t="s">
        <v>872</v>
      </c>
      <c r="B62" s="13" t="s">
        <v>791</v>
      </c>
      <c r="C62" s="13">
        <v>69.0</v>
      </c>
      <c r="D62" s="13">
        <v>7.5</v>
      </c>
      <c r="E62" s="10" t="s">
        <v>816</v>
      </c>
    </row>
    <row r="63" ht="14.25" customHeight="1">
      <c r="A63" s="13" t="s">
        <v>873</v>
      </c>
      <c r="B63" s="13" t="s">
        <v>791</v>
      </c>
      <c r="C63" s="13">
        <v>69.0</v>
      </c>
      <c r="D63" s="13">
        <v>7.5</v>
      </c>
      <c r="E63" s="10" t="s">
        <v>816</v>
      </c>
    </row>
    <row r="64" ht="14.25" customHeight="1">
      <c r="A64" s="13" t="s">
        <v>874</v>
      </c>
      <c r="B64" s="13" t="s">
        <v>364</v>
      </c>
      <c r="C64" s="13">
        <v>69.0</v>
      </c>
      <c r="D64" s="13">
        <v>5.0</v>
      </c>
      <c r="E64" s="10" t="s">
        <v>816</v>
      </c>
    </row>
    <row r="65" ht="14.25" customHeight="1">
      <c r="A65" s="13" t="s">
        <v>875</v>
      </c>
      <c r="B65" s="13" t="s">
        <v>364</v>
      </c>
      <c r="C65" s="13">
        <v>69.0</v>
      </c>
      <c r="D65" s="13">
        <v>5.0</v>
      </c>
      <c r="E65" s="10" t="s">
        <v>816</v>
      </c>
    </row>
    <row r="66" ht="14.25" customHeight="1">
      <c r="A66" s="13" t="s">
        <v>876</v>
      </c>
      <c r="B66" s="13" t="s">
        <v>811</v>
      </c>
      <c r="C66" s="13">
        <v>69.0</v>
      </c>
      <c r="D66" s="13">
        <v>7.5</v>
      </c>
      <c r="E66" s="10" t="s">
        <v>816</v>
      </c>
    </row>
    <row r="67" ht="14.25" customHeight="1">
      <c r="A67" s="13" t="s">
        <v>877</v>
      </c>
      <c r="B67" s="13" t="s">
        <v>583</v>
      </c>
      <c r="C67" s="13">
        <v>230.0</v>
      </c>
      <c r="D67" s="13">
        <v>50.0</v>
      </c>
      <c r="E67" s="10" t="s">
        <v>823</v>
      </c>
    </row>
    <row r="68" ht="14.25" customHeight="1">
      <c r="A68" s="13" t="s">
        <v>878</v>
      </c>
      <c r="B68" s="13" t="s">
        <v>583</v>
      </c>
      <c r="C68" s="13">
        <v>230.0</v>
      </c>
      <c r="D68" s="13">
        <v>50.0</v>
      </c>
      <c r="E68" s="10" t="s">
        <v>823</v>
      </c>
    </row>
    <row r="69" ht="14.25" customHeight="1">
      <c r="A69" s="13" t="s">
        <v>879</v>
      </c>
      <c r="B69" s="13" t="s">
        <v>583</v>
      </c>
      <c r="C69" s="13">
        <v>230.0</v>
      </c>
      <c r="D69" s="13">
        <v>50.0</v>
      </c>
      <c r="E69" s="10" t="s">
        <v>823</v>
      </c>
    </row>
    <row r="70" ht="14.25" customHeight="1">
      <c r="A70" s="13" t="s">
        <v>880</v>
      </c>
      <c r="B70" s="13" t="s">
        <v>583</v>
      </c>
      <c r="C70" s="13">
        <v>230.0</v>
      </c>
      <c r="D70" s="13">
        <v>50.0</v>
      </c>
      <c r="E70" s="10" t="s">
        <v>823</v>
      </c>
    </row>
    <row r="71" ht="14.25" customHeight="1">
      <c r="A71" s="13" t="s">
        <v>881</v>
      </c>
      <c r="B71" s="13" t="s">
        <v>811</v>
      </c>
      <c r="C71" s="13">
        <v>138.0</v>
      </c>
      <c r="D71" s="13">
        <v>30.0</v>
      </c>
      <c r="E71" s="10" t="s">
        <v>823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2:E2"/>
    <mergeCell ref="A10:E10"/>
    <mergeCell ref="A28:E28"/>
    <mergeCell ref="A46:E46"/>
    <mergeCell ref="A60:E6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2.14"/>
    <col customWidth="1" min="3" max="3" width="22.71"/>
    <col customWidth="1" min="4" max="4" width="7.14"/>
    <col customWidth="1" min="5" max="5" width="15.29"/>
    <col customWidth="1" min="6" max="6" width="13.71"/>
    <col customWidth="1" min="7" max="7" width="14.29"/>
    <col customWidth="1" min="8" max="8" width="10.14"/>
    <col customWidth="1" min="9" max="9" width="10.71"/>
    <col customWidth="1" min="10" max="10" width="10.14"/>
    <col customWidth="1" min="11" max="11" width="9.71"/>
    <col customWidth="1" min="12" max="12" width="15.14"/>
  </cols>
  <sheetData>
    <row r="1" ht="14.25" customHeight="1">
      <c r="A1" s="29" t="s">
        <v>882</v>
      </c>
      <c r="B1" s="29" t="s">
        <v>883</v>
      </c>
      <c r="C1" s="29" t="s">
        <v>884</v>
      </c>
      <c r="D1" s="29" t="s">
        <v>12</v>
      </c>
      <c r="E1" s="29" t="s">
        <v>885</v>
      </c>
      <c r="F1" s="29" t="s">
        <v>886</v>
      </c>
      <c r="G1" s="29" t="s">
        <v>887</v>
      </c>
      <c r="H1" s="30" t="s">
        <v>888</v>
      </c>
      <c r="I1" s="29" t="s">
        <v>889</v>
      </c>
      <c r="J1" s="29" t="s">
        <v>890</v>
      </c>
      <c r="K1" s="29" t="s">
        <v>891</v>
      </c>
      <c r="L1" s="29" t="s">
        <v>892</v>
      </c>
    </row>
    <row r="2" ht="14.25" customHeight="1">
      <c r="A2" s="26" t="s">
        <v>893</v>
      </c>
      <c r="B2" s="26" t="s">
        <v>894</v>
      </c>
      <c r="C2" s="26" t="s">
        <v>895</v>
      </c>
      <c r="D2" s="26" t="s">
        <v>896</v>
      </c>
      <c r="E2" s="26" t="s">
        <v>897</v>
      </c>
      <c r="F2" s="26" t="s">
        <v>898</v>
      </c>
      <c r="G2" s="26">
        <v>0.0</v>
      </c>
      <c r="H2" s="26">
        <v>2950.4824</v>
      </c>
      <c r="I2" s="26">
        <v>1.0229</v>
      </c>
      <c r="J2" s="26">
        <v>3018.0875</v>
      </c>
      <c r="K2" s="26">
        <v>-67.6052</v>
      </c>
      <c r="L2" s="26">
        <v>0.0</v>
      </c>
    </row>
    <row r="3" ht="14.25" customHeight="1">
      <c r="A3" s="26" t="s">
        <v>893</v>
      </c>
      <c r="B3" s="26" t="s">
        <v>894</v>
      </c>
      <c r="C3" s="26" t="s">
        <v>895</v>
      </c>
      <c r="D3" s="26" t="s">
        <v>896</v>
      </c>
      <c r="E3" s="26" t="s">
        <v>899</v>
      </c>
      <c r="F3" s="26" t="s">
        <v>898</v>
      </c>
      <c r="G3" s="26">
        <v>-55.84</v>
      </c>
      <c r="H3" s="26">
        <v>2949.8787</v>
      </c>
      <c r="I3" s="26">
        <v>1.0231</v>
      </c>
      <c r="J3" s="26">
        <v>3018.0875</v>
      </c>
      <c r="K3" s="26">
        <v>-68.2088</v>
      </c>
      <c r="L3" s="26">
        <v>0.0</v>
      </c>
    </row>
    <row r="4" ht="14.25" customHeight="1">
      <c r="A4" s="26" t="s">
        <v>893</v>
      </c>
      <c r="B4" s="26" t="s">
        <v>894</v>
      </c>
      <c r="C4" s="26" t="s">
        <v>895</v>
      </c>
      <c r="D4" s="26" t="s">
        <v>896</v>
      </c>
      <c r="E4" s="26" t="s">
        <v>900</v>
      </c>
      <c r="F4" s="26" t="s">
        <v>898</v>
      </c>
      <c r="G4" s="26">
        <v>-3.74</v>
      </c>
      <c r="H4" s="26">
        <v>2951.6896</v>
      </c>
      <c r="I4" s="26">
        <v>1.0225</v>
      </c>
      <c r="J4" s="26">
        <v>3018.0875</v>
      </c>
      <c r="K4" s="26">
        <v>-66.3979</v>
      </c>
      <c r="L4" s="26">
        <v>0.0</v>
      </c>
    </row>
    <row r="5" ht="14.25" customHeight="1">
      <c r="A5" s="26" t="s">
        <v>893</v>
      </c>
      <c r="B5" s="26" t="s">
        <v>894</v>
      </c>
      <c r="C5" s="26" t="s">
        <v>895</v>
      </c>
      <c r="D5" s="26" t="s">
        <v>896</v>
      </c>
      <c r="E5" s="26" t="s">
        <v>901</v>
      </c>
      <c r="F5" s="26" t="s">
        <v>898</v>
      </c>
      <c r="G5" s="26">
        <v>-6.65</v>
      </c>
      <c r="H5" s="26">
        <v>2951.6896</v>
      </c>
      <c r="I5" s="26">
        <v>1.0225</v>
      </c>
      <c r="J5" s="26">
        <v>3018.0875</v>
      </c>
      <c r="K5" s="26">
        <v>-66.3979</v>
      </c>
      <c r="L5" s="26">
        <v>0.0</v>
      </c>
    </row>
    <row r="6" ht="14.25" customHeight="1">
      <c r="A6" s="26" t="s">
        <v>893</v>
      </c>
      <c r="B6" s="26" t="s">
        <v>894</v>
      </c>
      <c r="C6" s="26" t="s">
        <v>895</v>
      </c>
      <c r="D6" s="26" t="s">
        <v>896</v>
      </c>
      <c r="E6" s="26" t="s">
        <v>902</v>
      </c>
      <c r="F6" s="26" t="s">
        <v>898</v>
      </c>
      <c r="G6" s="26">
        <v>-31.62</v>
      </c>
      <c r="H6" s="26">
        <v>2981.2669</v>
      </c>
      <c r="I6" s="26">
        <v>1.0124</v>
      </c>
      <c r="J6" s="26">
        <v>3018.0875</v>
      </c>
      <c r="K6" s="26">
        <v>-36.8207</v>
      </c>
      <c r="L6" s="26">
        <v>0.0</v>
      </c>
    </row>
    <row r="7" ht="14.25" customHeight="1">
      <c r="A7" s="26" t="s">
        <v>893</v>
      </c>
      <c r="B7" s="26" t="s">
        <v>894</v>
      </c>
      <c r="C7" s="26" t="s">
        <v>895</v>
      </c>
      <c r="D7" s="26" t="s">
        <v>896</v>
      </c>
      <c r="E7" s="26" t="s">
        <v>903</v>
      </c>
      <c r="F7" s="26" t="s">
        <v>898</v>
      </c>
      <c r="G7" s="26">
        <v>0.0</v>
      </c>
      <c r="H7" s="26">
        <v>2981.5687</v>
      </c>
      <c r="I7" s="26">
        <v>1.0122</v>
      </c>
      <c r="J7" s="26">
        <v>3018.0875</v>
      </c>
      <c r="K7" s="26">
        <v>-36.5189</v>
      </c>
      <c r="L7" s="26">
        <v>0.0</v>
      </c>
    </row>
    <row r="8" ht="14.25" customHeight="1">
      <c r="A8" s="26" t="s">
        <v>893</v>
      </c>
      <c r="B8" s="26" t="s">
        <v>894</v>
      </c>
      <c r="C8" s="26" t="s">
        <v>895</v>
      </c>
      <c r="D8" s="26" t="s">
        <v>896</v>
      </c>
      <c r="E8" s="26" t="s">
        <v>904</v>
      </c>
      <c r="F8" s="26" t="s">
        <v>898</v>
      </c>
      <c r="G8" s="26">
        <v>0.0</v>
      </c>
      <c r="H8" s="26">
        <v>2880.4627</v>
      </c>
      <c r="I8" s="26">
        <v>1.0478</v>
      </c>
      <c r="J8" s="26">
        <v>3018.0875</v>
      </c>
      <c r="K8" s="26">
        <v>-137.6248</v>
      </c>
      <c r="L8" s="26">
        <v>0.0</v>
      </c>
    </row>
    <row r="9" ht="14.25" customHeight="1">
      <c r="A9" s="26" t="s">
        <v>893</v>
      </c>
      <c r="B9" s="26" t="s">
        <v>894</v>
      </c>
      <c r="C9" s="26" t="s">
        <v>895</v>
      </c>
      <c r="D9" s="26" t="s">
        <v>896</v>
      </c>
      <c r="E9" s="26" t="s">
        <v>905</v>
      </c>
      <c r="F9" s="26" t="s">
        <v>898</v>
      </c>
      <c r="G9" s="26">
        <v>-8.56</v>
      </c>
      <c r="H9" s="26">
        <v>2880.4627</v>
      </c>
      <c r="I9" s="26">
        <v>1.0478</v>
      </c>
      <c r="J9" s="26">
        <v>3018.0875</v>
      </c>
      <c r="K9" s="26">
        <v>-137.6248</v>
      </c>
      <c r="L9" s="26">
        <v>0.0</v>
      </c>
    </row>
    <row r="10" ht="14.25" customHeight="1">
      <c r="A10" s="26" t="s">
        <v>893</v>
      </c>
      <c r="B10" s="26" t="s">
        <v>894</v>
      </c>
      <c r="C10" s="26" t="s">
        <v>895</v>
      </c>
      <c r="D10" s="26" t="s">
        <v>896</v>
      </c>
      <c r="E10" s="26" t="s">
        <v>906</v>
      </c>
      <c r="F10" s="26" t="s">
        <v>898</v>
      </c>
      <c r="G10" s="26">
        <v>0.0</v>
      </c>
      <c r="H10" s="26">
        <v>2880.4627</v>
      </c>
      <c r="I10" s="26">
        <v>1.0478</v>
      </c>
      <c r="J10" s="26">
        <v>3018.0875</v>
      </c>
      <c r="K10" s="26">
        <v>-137.6248</v>
      </c>
      <c r="L10" s="26">
        <v>0.0</v>
      </c>
    </row>
    <row r="11" ht="14.25" customHeight="1">
      <c r="A11" s="26" t="s">
        <v>893</v>
      </c>
      <c r="B11" s="26" t="s">
        <v>894</v>
      </c>
      <c r="C11" s="26" t="s">
        <v>895</v>
      </c>
      <c r="D11" s="26" t="s">
        <v>896</v>
      </c>
      <c r="E11" s="26" t="s">
        <v>907</v>
      </c>
      <c r="F11" s="26" t="s">
        <v>898</v>
      </c>
      <c r="G11" s="26">
        <v>-0.54</v>
      </c>
      <c r="H11" s="26">
        <v>2880.4627</v>
      </c>
      <c r="I11" s="26">
        <v>1.0478</v>
      </c>
      <c r="J11" s="26">
        <v>3018.0875</v>
      </c>
      <c r="K11" s="26">
        <v>-137.6248</v>
      </c>
      <c r="L11" s="26">
        <v>0.0</v>
      </c>
    </row>
    <row r="12" ht="14.25" customHeight="1">
      <c r="A12" s="26" t="s">
        <v>893</v>
      </c>
      <c r="B12" s="26" t="s">
        <v>894</v>
      </c>
      <c r="C12" s="26" t="s">
        <v>895</v>
      </c>
      <c r="D12" s="26" t="s">
        <v>896</v>
      </c>
      <c r="E12" s="26" t="s">
        <v>908</v>
      </c>
      <c r="F12" s="26" t="s">
        <v>898</v>
      </c>
      <c r="G12" s="26">
        <v>-5.69</v>
      </c>
      <c r="H12" s="26">
        <v>2880.4627</v>
      </c>
      <c r="I12" s="26">
        <v>1.0478</v>
      </c>
      <c r="J12" s="26">
        <v>3018.0875</v>
      </c>
      <c r="K12" s="26">
        <v>-137.6248</v>
      </c>
      <c r="L12" s="26">
        <v>0.0</v>
      </c>
    </row>
    <row r="13" ht="14.25" customHeight="1">
      <c r="A13" s="26" t="s">
        <v>893</v>
      </c>
      <c r="B13" s="26" t="s">
        <v>894</v>
      </c>
      <c r="C13" s="26" t="s">
        <v>895</v>
      </c>
      <c r="D13" s="26" t="s">
        <v>896</v>
      </c>
      <c r="E13" s="26" t="s">
        <v>909</v>
      </c>
      <c r="F13" s="26" t="s">
        <v>898</v>
      </c>
      <c r="G13" s="26">
        <v>-0.17</v>
      </c>
      <c r="H13" s="26">
        <v>2880.4627</v>
      </c>
      <c r="I13" s="26">
        <v>1.0478</v>
      </c>
      <c r="J13" s="26">
        <v>3018.0875</v>
      </c>
      <c r="K13" s="26">
        <v>-137.6248</v>
      </c>
      <c r="L13" s="26">
        <v>0.0</v>
      </c>
    </row>
    <row r="14" ht="14.25" customHeight="1">
      <c r="A14" s="26" t="s">
        <v>893</v>
      </c>
      <c r="B14" s="26" t="s">
        <v>894</v>
      </c>
      <c r="C14" s="26" t="s">
        <v>895</v>
      </c>
      <c r="D14" s="26" t="s">
        <v>896</v>
      </c>
      <c r="E14" s="26" t="s">
        <v>910</v>
      </c>
      <c r="F14" s="26" t="s">
        <v>898</v>
      </c>
      <c r="G14" s="26">
        <v>0.0</v>
      </c>
      <c r="H14" s="26">
        <v>2883.4808</v>
      </c>
      <c r="I14" s="26">
        <v>1.0466</v>
      </c>
      <c r="J14" s="26">
        <v>3018.0875</v>
      </c>
      <c r="K14" s="26">
        <v>-134.6067</v>
      </c>
      <c r="L14" s="26">
        <v>0.0</v>
      </c>
    </row>
    <row r="15" ht="14.25" customHeight="1">
      <c r="A15" s="26" t="s">
        <v>893</v>
      </c>
      <c r="B15" s="26" t="s">
        <v>894</v>
      </c>
      <c r="C15" s="26" t="s">
        <v>895</v>
      </c>
      <c r="D15" s="26" t="s">
        <v>896</v>
      </c>
      <c r="E15" s="26" t="s">
        <v>911</v>
      </c>
      <c r="F15" s="26" t="s">
        <v>898</v>
      </c>
      <c r="G15" s="26">
        <v>0.0</v>
      </c>
      <c r="H15" s="26">
        <v>2968.2891</v>
      </c>
      <c r="I15" s="26">
        <v>1.0167</v>
      </c>
      <c r="J15" s="26">
        <v>3018.0875</v>
      </c>
      <c r="K15" s="26">
        <v>-49.7984</v>
      </c>
      <c r="L15" s="26">
        <v>0.0</v>
      </c>
    </row>
    <row r="16" ht="14.25" customHeight="1">
      <c r="A16" s="26" t="s">
        <v>893</v>
      </c>
      <c r="B16" s="26" t="s">
        <v>894</v>
      </c>
      <c r="C16" s="26" t="s">
        <v>895</v>
      </c>
      <c r="D16" s="26" t="s">
        <v>896</v>
      </c>
      <c r="E16" s="26" t="s">
        <v>912</v>
      </c>
      <c r="F16" s="26" t="s">
        <v>898</v>
      </c>
      <c r="G16" s="26">
        <v>-9.21</v>
      </c>
      <c r="H16" s="26">
        <v>2970.7036</v>
      </c>
      <c r="I16" s="26">
        <v>1.016</v>
      </c>
      <c r="J16" s="26">
        <v>3018.0875</v>
      </c>
      <c r="K16" s="26">
        <v>-47.384</v>
      </c>
      <c r="L16" s="26">
        <v>0.0</v>
      </c>
    </row>
    <row r="17" ht="14.25" customHeight="1">
      <c r="A17" s="26" t="s">
        <v>893</v>
      </c>
      <c r="B17" s="26" t="s">
        <v>894</v>
      </c>
      <c r="C17" s="26" t="s">
        <v>895</v>
      </c>
      <c r="D17" s="26" t="s">
        <v>896</v>
      </c>
      <c r="E17" s="26" t="s">
        <v>913</v>
      </c>
      <c r="F17" s="26" t="s">
        <v>898</v>
      </c>
      <c r="G17" s="26">
        <v>-29.88</v>
      </c>
      <c r="H17" s="26">
        <v>2970.7036</v>
      </c>
      <c r="I17" s="26">
        <v>1.016</v>
      </c>
      <c r="J17" s="26">
        <v>3018.0875</v>
      </c>
      <c r="K17" s="26">
        <v>-47.384</v>
      </c>
      <c r="L17" s="26">
        <v>0.0</v>
      </c>
    </row>
    <row r="18" ht="14.25" customHeight="1">
      <c r="A18" s="26" t="s">
        <v>893</v>
      </c>
      <c r="B18" s="26" t="s">
        <v>894</v>
      </c>
      <c r="C18" s="26" t="s">
        <v>895</v>
      </c>
      <c r="D18" s="26" t="s">
        <v>896</v>
      </c>
      <c r="E18" s="26" t="s">
        <v>914</v>
      </c>
      <c r="F18" s="26" t="s">
        <v>898</v>
      </c>
      <c r="G18" s="26">
        <v>0.0</v>
      </c>
      <c r="H18" s="26">
        <v>2881.0664</v>
      </c>
      <c r="I18" s="26">
        <v>1.0476</v>
      </c>
      <c r="J18" s="26">
        <v>3018.0875</v>
      </c>
      <c r="K18" s="26">
        <v>-137.0212</v>
      </c>
      <c r="L18" s="26">
        <v>0.0</v>
      </c>
    </row>
    <row r="19" ht="14.25" customHeight="1">
      <c r="A19" s="26" t="s">
        <v>893</v>
      </c>
      <c r="B19" s="26" t="s">
        <v>894</v>
      </c>
      <c r="C19" s="26" t="s">
        <v>895</v>
      </c>
      <c r="D19" s="26" t="s">
        <v>896</v>
      </c>
      <c r="E19" s="26" t="s">
        <v>915</v>
      </c>
      <c r="F19" s="26" t="s">
        <v>898</v>
      </c>
      <c r="G19" s="26">
        <v>0.0</v>
      </c>
      <c r="H19" s="26">
        <v>2884.3862</v>
      </c>
      <c r="I19" s="26">
        <v>1.0464</v>
      </c>
      <c r="J19" s="26">
        <v>3018.0875</v>
      </c>
      <c r="K19" s="26">
        <v>-133.7013</v>
      </c>
      <c r="L19" s="26">
        <v>0.0</v>
      </c>
    </row>
    <row r="20" ht="14.25" customHeight="1">
      <c r="A20" s="26" t="s">
        <v>893</v>
      </c>
      <c r="B20" s="26" t="s">
        <v>894</v>
      </c>
      <c r="C20" s="26" t="s">
        <v>895</v>
      </c>
      <c r="D20" s="26" t="s">
        <v>896</v>
      </c>
      <c r="E20" s="26" t="s">
        <v>916</v>
      </c>
      <c r="F20" s="26" t="s">
        <v>898</v>
      </c>
      <c r="G20" s="26">
        <v>0.0</v>
      </c>
      <c r="H20" s="26">
        <v>2881.0664</v>
      </c>
      <c r="I20" s="26">
        <v>1.0476</v>
      </c>
      <c r="J20" s="26">
        <v>3018.0875</v>
      </c>
      <c r="K20" s="26">
        <v>-137.0212</v>
      </c>
      <c r="L20" s="26">
        <v>0.0</v>
      </c>
    </row>
    <row r="21" ht="14.25" customHeight="1">
      <c r="A21" s="26" t="s">
        <v>893</v>
      </c>
      <c r="B21" s="26" t="s">
        <v>894</v>
      </c>
      <c r="C21" s="26" t="s">
        <v>895</v>
      </c>
      <c r="D21" s="26" t="s">
        <v>896</v>
      </c>
      <c r="E21" s="26" t="s">
        <v>917</v>
      </c>
      <c r="F21" s="26" t="s">
        <v>898</v>
      </c>
      <c r="G21" s="26">
        <v>-41.83</v>
      </c>
      <c r="H21" s="26">
        <v>2881.0664</v>
      </c>
      <c r="I21" s="26">
        <v>1.0476</v>
      </c>
      <c r="J21" s="26">
        <v>3018.0875</v>
      </c>
      <c r="K21" s="26">
        <v>-137.0212</v>
      </c>
      <c r="L21" s="26">
        <v>0.0</v>
      </c>
    </row>
    <row r="22" ht="14.25" customHeight="1">
      <c r="A22" s="26" t="s">
        <v>893</v>
      </c>
      <c r="B22" s="26" t="s">
        <v>894</v>
      </c>
      <c r="C22" s="26" t="s">
        <v>895</v>
      </c>
      <c r="D22" s="26" t="s">
        <v>896</v>
      </c>
      <c r="E22" s="26" t="s">
        <v>918</v>
      </c>
      <c r="F22" s="26" t="s">
        <v>898</v>
      </c>
      <c r="G22" s="26">
        <v>0.0</v>
      </c>
      <c r="H22" s="26">
        <v>2958.6312</v>
      </c>
      <c r="I22" s="26">
        <v>1.0201</v>
      </c>
      <c r="J22" s="26">
        <v>3018.0875</v>
      </c>
      <c r="K22" s="26">
        <v>-59.4563</v>
      </c>
      <c r="L22" s="26">
        <v>0.0</v>
      </c>
    </row>
    <row r="23" ht="14.25" customHeight="1">
      <c r="A23" s="26" t="s">
        <v>893</v>
      </c>
      <c r="B23" s="26" t="s">
        <v>894</v>
      </c>
      <c r="C23" s="26" t="s">
        <v>895</v>
      </c>
      <c r="D23" s="26" t="s">
        <v>896</v>
      </c>
      <c r="E23" s="26" t="s">
        <v>919</v>
      </c>
      <c r="F23" s="26" t="s">
        <v>898</v>
      </c>
      <c r="G23" s="26">
        <v>0.0</v>
      </c>
      <c r="H23" s="26">
        <v>2981.2669</v>
      </c>
      <c r="I23" s="26">
        <v>1.0123</v>
      </c>
      <c r="J23" s="26">
        <v>3018.0875</v>
      </c>
      <c r="K23" s="26">
        <v>-36.8207</v>
      </c>
      <c r="L23" s="26">
        <v>0.0</v>
      </c>
    </row>
    <row r="24" ht="14.25" customHeight="1">
      <c r="A24" s="26" t="s">
        <v>893</v>
      </c>
      <c r="B24" s="26" t="s">
        <v>894</v>
      </c>
      <c r="C24" s="26" t="s">
        <v>895</v>
      </c>
      <c r="D24" s="26" t="s">
        <v>896</v>
      </c>
      <c r="E24" s="26" t="s">
        <v>920</v>
      </c>
      <c r="F24" s="26" t="s">
        <v>898</v>
      </c>
      <c r="G24" s="26">
        <v>0.0</v>
      </c>
      <c r="H24" s="26">
        <v>2951.9914</v>
      </c>
      <c r="I24" s="26">
        <v>1.0224</v>
      </c>
      <c r="J24" s="26">
        <v>3018.0875</v>
      </c>
      <c r="K24" s="26">
        <v>-66.0961</v>
      </c>
      <c r="L24" s="26">
        <v>0.0</v>
      </c>
    </row>
    <row r="25" ht="14.25" customHeight="1">
      <c r="A25" s="26" t="s">
        <v>893</v>
      </c>
      <c r="B25" s="26" t="s">
        <v>894</v>
      </c>
      <c r="C25" s="26" t="s">
        <v>895</v>
      </c>
      <c r="D25" s="26" t="s">
        <v>896</v>
      </c>
      <c r="E25" s="26" t="s">
        <v>921</v>
      </c>
      <c r="F25" s="26" t="s">
        <v>898</v>
      </c>
      <c r="G25" s="26">
        <v>0.0</v>
      </c>
      <c r="H25" s="26">
        <v>2907.0219</v>
      </c>
      <c r="I25" s="26">
        <v>1.0382</v>
      </c>
      <c r="J25" s="26">
        <v>3018.0875</v>
      </c>
      <c r="K25" s="26">
        <v>-111.0656</v>
      </c>
      <c r="L25" s="26">
        <v>0.0</v>
      </c>
    </row>
    <row r="26" ht="14.25" customHeight="1">
      <c r="A26" s="26" t="s">
        <v>893</v>
      </c>
      <c r="B26" s="26" t="s">
        <v>894</v>
      </c>
      <c r="C26" s="26" t="s">
        <v>895</v>
      </c>
      <c r="D26" s="26" t="s">
        <v>896</v>
      </c>
      <c r="E26" s="26" t="s">
        <v>922</v>
      </c>
      <c r="F26" s="26" t="s">
        <v>898</v>
      </c>
      <c r="G26" s="26">
        <v>0.0</v>
      </c>
      <c r="H26" s="26">
        <v>2907.0219</v>
      </c>
      <c r="I26" s="26">
        <v>1.0382</v>
      </c>
      <c r="J26" s="26">
        <v>3018.0875</v>
      </c>
      <c r="K26" s="26">
        <v>-111.0656</v>
      </c>
      <c r="L26" s="26">
        <v>0.0</v>
      </c>
    </row>
    <row r="27" ht="14.25" customHeight="1">
      <c r="A27" s="26" t="s">
        <v>893</v>
      </c>
      <c r="B27" s="26" t="s">
        <v>894</v>
      </c>
      <c r="C27" s="26" t="s">
        <v>895</v>
      </c>
      <c r="D27" s="26" t="s">
        <v>896</v>
      </c>
      <c r="E27" s="26" t="s">
        <v>923</v>
      </c>
      <c r="F27" s="26" t="s">
        <v>898</v>
      </c>
      <c r="G27" s="26">
        <v>0.0</v>
      </c>
      <c r="H27" s="26">
        <v>3018.0875</v>
      </c>
      <c r="I27" s="26">
        <v>1.0</v>
      </c>
      <c r="J27" s="26">
        <v>3018.0875</v>
      </c>
      <c r="K27" s="26">
        <v>0.0</v>
      </c>
      <c r="L27" s="26">
        <v>0.0</v>
      </c>
    </row>
    <row r="28" ht="14.25" customHeight="1">
      <c r="A28" s="26" t="s">
        <v>893</v>
      </c>
      <c r="B28" s="26" t="s">
        <v>894</v>
      </c>
      <c r="C28" s="26" t="s">
        <v>895</v>
      </c>
      <c r="D28" s="26" t="s">
        <v>896</v>
      </c>
      <c r="E28" s="26" t="s">
        <v>924</v>
      </c>
      <c r="F28" s="26" t="s">
        <v>898</v>
      </c>
      <c r="G28" s="26">
        <v>0.0</v>
      </c>
      <c r="H28" s="26">
        <v>2867.1831</v>
      </c>
      <c r="I28" s="26">
        <v>1.0526</v>
      </c>
      <c r="J28" s="26">
        <v>3018.0875</v>
      </c>
      <c r="K28" s="26">
        <v>-150.9044</v>
      </c>
      <c r="L28" s="26">
        <v>0.0</v>
      </c>
    </row>
    <row r="29" ht="14.25" customHeight="1">
      <c r="A29" s="26" t="s">
        <v>893</v>
      </c>
      <c r="B29" s="26" t="s">
        <v>894</v>
      </c>
      <c r="C29" s="26" t="s">
        <v>895</v>
      </c>
      <c r="D29" s="26" t="s">
        <v>896</v>
      </c>
      <c r="E29" s="26" t="s">
        <v>925</v>
      </c>
      <c r="F29" s="26" t="s">
        <v>898</v>
      </c>
      <c r="G29" s="26">
        <v>-6.26</v>
      </c>
      <c r="H29" s="26">
        <v>2867.485</v>
      </c>
      <c r="I29" s="26">
        <v>1.0525</v>
      </c>
      <c r="J29" s="26">
        <v>3018.0875</v>
      </c>
      <c r="K29" s="26">
        <v>-150.6026</v>
      </c>
      <c r="L29" s="26">
        <v>0.0</v>
      </c>
    </row>
    <row r="30" ht="14.25" customHeight="1">
      <c r="A30" s="26" t="s">
        <v>893</v>
      </c>
      <c r="B30" s="26" t="s">
        <v>894</v>
      </c>
      <c r="C30" s="26" t="s">
        <v>895</v>
      </c>
      <c r="D30" s="26" t="s">
        <v>896</v>
      </c>
      <c r="E30" s="26" t="s">
        <v>926</v>
      </c>
      <c r="F30" s="26" t="s">
        <v>898</v>
      </c>
      <c r="G30" s="26">
        <v>0.0</v>
      </c>
      <c r="H30" s="26">
        <v>2884.3862</v>
      </c>
      <c r="I30" s="26">
        <v>1.0464</v>
      </c>
      <c r="J30" s="26">
        <v>3018.0875</v>
      </c>
      <c r="K30" s="26">
        <v>-133.7013</v>
      </c>
      <c r="L30" s="26">
        <v>0.0</v>
      </c>
    </row>
    <row r="31" ht="14.25" customHeight="1">
      <c r="A31" s="26" t="s">
        <v>893</v>
      </c>
      <c r="B31" s="26" t="s">
        <v>894</v>
      </c>
      <c r="C31" s="26" t="s">
        <v>895</v>
      </c>
      <c r="D31" s="26" t="s">
        <v>896</v>
      </c>
      <c r="E31" s="26" t="s">
        <v>927</v>
      </c>
      <c r="F31" s="26" t="s">
        <v>898</v>
      </c>
      <c r="G31" s="26">
        <v>-13.17</v>
      </c>
      <c r="H31" s="26">
        <v>2959.2348</v>
      </c>
      <c r="I31" s="26">
        <v>1.0199</v>
      </c>
      <c r="J31" s="26">
        <v>3018.0875</v>
      </c>
      <c r="K31" s="26">
        <v>-58.8527</v>
      </c>
      <c r="L31" s="26">
        <v>0.0</v>
      </c>
    </row>
    <row r="32" ht="14.25" customHeight="1">
      <c r="A32" s="26" t="s">
        <v>893</v>
      </c>
      <c r="B32" s="26" t="s">
        <v>894</v>
      </c>
      <c r="C32" s="26" t="s">
        <v>895</v>
      </c>
      <c r="D32" s="26" t="s">
        <v>896</v>
      </c>
      <c r="E32" s="26" t="s">
        <v>928</v>
      </c>
      <c r="F32" s="26" t="s">
        <v>898</v>
      </c>
      <c r="G32" s="26">
        <v>0.0</v>
      </c>
      <c r="H32" s="26">
        <v>2738.9144</v>
      </c>
      <c r="I32" s="26">
        <v>1.102</v>
      </c>
      <c r="J32" s="26">
        <v>3018.0875</v>
      </c>
      <c r="K32" s="26">
        <v>-279.1731</v>
      </c>
      <c r="L32" s="26">
        <v>0.0</v>
      </c>
    </row>
    <row r="33" ht="14.25" customHeight="1">
      <c r="A33" s="26" t="s">
        <v>893</v>
      </c>
      <c r="B33" s="26" t="s">
        <v>894</v>
      </c>
      <c r="C33" s="26" t="s">
        <v>895</v>
      </c>
      <c r="D33" s="26" t="s">
        <v>896</v>
      </c>
      <c r="E33" s="26" t="s">
        <v>929</v>
      </c>
      <c r="F33" s="26" t="s">
        <v>898</v>
      </c>
      <c r="G33" s="26">
        <v>-66.82</v>
      </c>
      <c r="H33" s="26">
        <v>3028.349</v>
      </c>
      <c r="I33" s="26">
        <v>0.9967</v>
      </c>
      <c r="J33" s="26">
        <v>3018.0875</v>
      </c>
      <c r="K33" s="26">
        <v>10.2615</v>
      </c>
      <c r="L33" s="26">
        <v>0.0</v>
      </c>
    </row>
    <row r="34" ht="14.25" customHeight="1">
      <c r="A34" s="26" t="s">
        <v>893</v>
      </c>
      <c r="B34" s="26" t="s">
        <v>894</v>
      </c>
      <c r="C34" s="26" t="s">
        <v>895</v>
      </c>
      <c r="D34" s="26" t="s">
        <v>896</v>
      </c>
      <c r="E34" s="26" t="s">
        <v>930</v>
      </c>
      <c r="F34" s="26" t="s">
        <v>898</v>
      </c>
      <c r="G34" s="26">
        <v>-75.8</v>
      </c>
      <c r="H34" s="26">
        <v>3028.349</v>
      </c>
      <c r="I34" s="26">
        <v>0.9967</v>
      </c>
      <c r="J34" s="26">
        <v>3018.0875</v>
      </c>
      <c r="K34" s="26">
        <v>10.2615</v>
      </c>
      <c r="L34" s="26">
        <v>0.0</v>
      </c>
    </row>
    <row r="35" ht="14.25" customHeight="1">
      <c r="A35" s="26" t="s">
        <v>893</v>
      </c>
      <c r="B35" s="26" t="s">
        <v>894</v>
      </c>
      <c r="C35" s="26" t="s">
        <v>895</v>
      </c>
      <c r="D35" s="26" t="s">
        <v>896</v>
      </c>
      <c r="E35" s="26" t="s">
        <v>931</v>
      </c>
      <c r="F35" s="26" t="s">
        <v>898</v>
      </c>
      <c r="G35" s="26">
        <v>-75.66</v>
      </c>
      <c r="H35" s="26">
        <v>3028.349</v>
      </c>
      <c r="I35" s="26">
        <v>0.9966</v>
      </c>
      <c r="J35" s="26">
        <v>3018.0875</v>
      </c>
      <c r="K35" s="26">
        <v>10.2615</v>
      </c>
      <c r="L35" s="26">
        <v>0.0</v>
      </c>
    </row>
    <row r="36" ht="14.25" customHeight="1">
      <c r="A36" s="26" t="s">
        <v>893</v>
      </c>
      <c r="B36" s="26" t="s">
        <v>894</v>
      </c>
      <c r="C36" s="26" t="s">
        <v>895</v>
      </c>
      <c r="D36" s="26" t="s">
        <v>896</v>
      </c>
      <c r="E36" s="26" t="s">
        <v>932</v>
      </c>
      <c r="F36" s="26" t="s">
        <v>898</v>
      </c>
      <c r="G36" s="26">
        <v>0.0</v>
      </c>
      <c r="H36" s="26">
        <v>3001.1862</v>
      </c>
      <c r="I36" s="26">
        <v>1.0057</v>
      </c>
      <c r="J36" s="26">
        <v>3018.0875</v>
      </c>
      <c r="K36" s="26">
        <v>-16.9013</v>
      </c>
      <c r="L36" s="26">
        <v>0.0</v>
      </c>
    </row>
    <row r="37" ht="14.25" customHeight="1">
      <c r="A37" s="26" t="s">
        <v>893</v>
      </c>
      <c r="B37" s="26" t="s">
        <v>894</v>
      </c>
      <c r="C37" s="26" t="s">
        <v>895</v>
      </c>
      <c r="D37" s="26" t="s">
        <v>896</v>
      </c>
      <c r="E37" s="26" t="s">
        <v>933</v>
      </c>
      <c r="F37" s="26" t="s">
        <v>898</v>
      </c>
      <c r="G37" s="26">
        <v>0.0</v>
      </c>
      <c r="H37" s="26">
        <v>3018.0875</v>
      </c>
      <c r="I37" s="26">
        <v>1.0</v>
      </c>
      <c r="J37" s="26">
        <v>3018.0875</v>
      </c>
      <c r="K37" s="26">
        <v>0.0</v>
      </c>
      <c r="L37" s="26">
        <v>0.0</v>
      </c>
    </row>
    <row r="38" ht="14.25" customHeight="1">
      <c r="A38" s="26" t="s">
        <v>893</v>
      </c>
      <c r="B38" s="26" t="s">
        <v>894</v>
      </c>
      <c r="C38" s="26" t="s">
        <v>895</v>
      </c>
      <c r="D38" s="26" t="s">
        <v>896</v>
      </c>
      <c r="E38" s="26" t="s">
        <v>934</v>
      </c>
      <c r="F38" s="26" t="s">
        <v>898</v>
      </c>
      <c r="G38" s="26">
        <v>0.0</v>
      </c>
      <c r="H38" s="26">
        <v>3018.0875</v>
      </c>
      <c r="I38" s="26">
        <v>1.0</v>
      </c>
      <c r="J38" s="26">
        <v>3018.0875</v>
      </c>
      <c r="K38" s="26">
        <v>0.0</v>
      </c>
      <c r="L38" s="26">
        <v>0.0</v>
      </c>
    </row>
    <row r="39" ht="14.25" customHeight="1">
      <c r="A39" s="26" t="s">
        <v>893</v>
      </c>
      <c r="B39" s="26" t="s">
        <v>894</v>
      </c>
      <c r="C39" s="26" t="s">
        <v>895</v>
      </c>
      <c r="D39" s="26" t="s">
        <v>896</v>
      </c>
      <c r="E39" s="26" t="s">
        <v>935</v>
      </c>
      <c r="F39" s="26" t="s">
        <v>898</v>
      </c>
      <c r="G39" s="26">
        <v>0.0</v>
      </c>
      <c r="H39" s="26">
        <v>3022.9165</v>
      </c>
      <c r="I39" s="26">
        <v>0.9984</v>
      </c>
      <c r="J39" s="26">
        <v>3018.0875</v>
      </c>
      <c r="K39" s="26">
        <v>4.8289</v>
      </c>
      <c r="L39" s="26">
        <v>0.0</v>
      </c>
    </row>
    <row r="40" ht="14.25" customHeight="1">
      <c r="A40" s="26" t="s">
        <v>893</v>
      </c>
      <c r="B40" s="26" t="s">
        <v>894</v>
      </c>
      <c r="C40" s="26" t="s">
        <v>895</v>
      </c>
      <c r="D40" s="26" t="s">
        <v>896</v>
      </c>
      <c r="E40" s="26" t="s">
        <v>936</v>
      </c>
      <c r="F40" s="26" t="s">
        <v>898</v>
      </c>
      <c r="G40" s="26">
        <v>-30.46</v>
      </c>
      <c r="H40" s="26">
        <v>2997.5645</v>
      </c>
      <c r="I40" s="26">
        <v>1.0069</v>
      </c>
      <c r="J40" s="26">
        <v>3018.0875</v>
      </c>
      <c r="K40" s="26">
        <v>-20.523</v>
      </c>
      <c r="L40" s="26">
        <v>0.0</v>
      </c>
    </row>
    <row r="41" ht="14.25" customHeight="1">
      <c r="A41" s="26" t="s">
        <v>893</v>
      </c>
      <c r="B41" s="26" t="s">
        <v>894</v>
      </c>
      <c r="C41" s="26" t="s">
        <v>895</v>
      </c>
      <c r="D41" s="26" t="s">
        <v>896</v>
      </c>
      <c r="E41" s="26" t="s">
        <v>937</v>
      </c>
      <c r="F41" s="26" t="s">
        <v>898</v>
      </c>
      <c r="G41" s="26">
        <v>0.0</v>
      </c>
      <c r="H41" s="26">
        <v>3018.0875</v>
      </c>
      <c r="I41" s="26">
        <v>1.0</v>
      </c>
      <c r="J41" s="26">
        <v>3018.0875</v>
      </c>
      <c r="K41" s="26">
        <v>0.0</v>
      </c>
      <c r="L41" s="26">
        <v>0.0</v>
      </c>
    </row>
    <row r="42" ht="14.25" customHeight="1">
      <c r="A42" s="26" t="s">
        <v>893</v>
      </c>
      <c r="B42" s="26" t="s">
        <v>894</v>
      </c>
      <c r="C42" s="26" t="s">
        <v>895</v>
      </c>
      <c r="D42" s="26" t="s">
        <v>896</v>
      </c>
      <c r="E42" s="26" t="s">
        <v>938</v>
      </c>
      <c r="F42" s="26" t="s">
        <v>898</v>
      </c>
      <c r="G42" s="26">
        <v>-17.68</v>
      </c>
      <c r="H42" s="26">
        <v>3018.3893</v>
      </c>
      <c r="I42" s="26">
        <v>0.9999</v>
      </c>
      <c r="J42" s="26">
        <v>3018.0875</v>
      </c>
      <c r="K42" s="26">
        <v>0.3018</v>
      </c>
      <c r="L42" s="26">
        <v>0.0</v>
      </c>
    </row>
    <row r="43" ht="14.25" customHeight="1">
      <c r="A43" s="26" t="s">
        <v>893</v>
      </c>
      <c r="B43" s="26" t="s">
        <v>894</v>
      </c>
      <c r="C43" s="26" t="s">
        <v>895</v>
      </c>
      <c r="D43" s="26" t="s">
        <v>896</v>
      </c>
      <c r="E43" s="26" t="s">
        <v>939</v>
      </c>
      <c r="F43" s="26" t="s">
        <v>898</v>
      </c>
      <c r="G43" s="26">
        <v>0.0</v>
      </c>
      <c r="H43" s="26">
        <v>3009.3351</v>
      </c>
      <c r="I43" s="26">
        <v>1.0029</v>
      </c>
      <c r="J43" s="26">
        <v>3018.0875</v>
      </c>
      <c r="K43" s="26">
        <v>-8.7525</v>
      </c>
      <c r="L43" s="26">
        <v>0.0</v>
      </c>
    </row>
    <row r="44" ht="14.25" customHeight="1">
      <c r="A44" s="26" t="s">
        <v>893</v>
      </c>
      <c r="B44" s="26" t="s">
        <v>894</v>
      </c>
      <c r="C44" s="26" t="s">
        <v>895</v>
      </c>
      <c r="D44" s="26" t="s">
        <v>896</v>
      </c>
      <c r="E44" s="26" t="s">
        <v>940</v>
      </c>
      <c r="F44" s="26" t="s">
        <v>898</v>
      </c>
      <c r="G44" s="26">
        <v>-32.49</v>
      </c>
      <c r="H44" s="26">
        <v>3014.7676</v>
      </c>
      <c r="I44" s="26">
        <v>1.0011</v>
      </c>
      <c r="J44" s="26">
        <v>3018.0875</v>
      </c>
      <c r="K44" s="26">
        <v>-3.3199</v>
      </c>
      <c r="L44" s="26">
        <v>0.0</v>
      </c>
    </row>
    <row r="45" ht="14.25" customHeight="1">
      <c r="A45" s="26" t="s">
        <v>893</v>
      </c>
      <c r="B45" s="26" t="s">
        <v>894</v>
      </c>
      <c r="C45" s="26" t="s">
        <v>895</v>
      </c>
      <c r="D45" s="26" t="s">
        <v>896</v>
      </c>
      <c r="E45" s="26" t="s">
        <v>941</v>
      </c>
      <c r="F45" s="26" t="s">
        <v>898</v>
      </c>
      <c r="G45" s="26">
        <v>-61.28</v>
      </c>
      <c r="H45" s="26">
        <v>3014.7676</v>
      </c>
      <c r="I45" s="26">
        <v>1.0011</v>
      </c>
      <c r="J45" s="26">
        <v>3018.0875</v>
      </c>
      <c r="K45" s="26">
        <v>-3.3199</v>
      </c>
      <c r="L45" s="26">
        <v>0.0</v>
      </c>
    </row>
    <row r="46" ht="14.25" customHeight="1">
      <c r="A46" s="26" t="s">
        <v>893</v>
      </c>
      <c r="B46" s="26" t="s">
        <v>894</v>
      </c>
      <c r="C46" s="26" t="s">
        <v>895</v>
      </c>
      <c r="D46" s="26" t="s">
        <v>896</v>
      </c>
      <c r="E46" s="26" t="s">
        <v>942</v>
      </c>
      <c r="F46" s="26" t="s">
        <v>898</v>
      </c>
      <c r="G46" s="26">
        <v>0.0</v>
      </c>
      <c r="H46" s="26">
        <v>2948.6715</v>
      </c>
      <c r="I46" s="26">
        <v>1.0235</v>
      </c>
      <c r="J46" s="26">
        <v>3018.0875</v>
      </c>
      <c r="K46" s="26">
        <v>-69.416</v>
      </c>
      <c r="L46" s="26">
        <v>0.0</v>
      </c>
    </row>
    <row r="47" ht="14.25" customHeight="1">
      <c r="A47" s="26" t="s">
        <v>893</v>
      </c>
      <c r="B47" s="26" t="s">
        <v>894</v>
      </c>
      <c r="C47" s="26" t="s">
        <v>895</v>
      </c>
      <c r="D47" s="26" t="s">
        <v>896</v>
      </c>
      <c r="E47" s="26" t="s">
        <v>943</v>
      </c>
      <c r="F47" s="26" t="s">
        <v>898</v>
      </c>
      <c r="G47" s="26">
        <v>-0.64</v>
      </c>
      <c r="H47" s="26">
        <v>3011.1459</v>
      </c>
      <c r="I47" s="26">
        <v>1.0023</v>
      </c>
      <c r="J47" s="26">
        <v>3018.0875</v>
      </c>
      <c r="K47" s="26">
        <v>-6.9416</v>
      </c>
      <c r="L47" s="26">
        <v>0.0</v>
      </c>
    </row>
    <row r="48" ht="14.25" customHeight="1">
      <c r="A48" s="26" t="s">
        <v>893</v>
      </c>
      <c r="B48" s="26" t="s">
        <v>894</v>
      </c>
      <c r="C48" s="26" t="s">
        <v>895</v>
      </c>
      <c r="D48" s="26" t="s">
        <v>896</v>
      </c>
      <c r="E48" s="26" t="s">
        <v>944</v>
      </c>
      <c r="F48" s="26" t="s">
        <v>898</v>
      </c>
      <c r="G48" s="26">
        <v>0.0</v>
      </c>
      <c r="H48" s="26">
        <v>3005.4116</v>
      </c>
      <c r="I48" s="26">
        <v>1.0043</v>
      </c>
      <c r="J48" s="26">
        <v>3018.0875</v>
      </c>
      <c r="K48" s="26">
        <v>-12.676</v>
      </c>
      <c r="L48" s="26">
        <v>0.0</v>
      </c>
    </row>
    <row r="49" ht="14.25" customHeight="1">
      <c r="A49" s="26" t="s">
        <v>893</v>
      </c>
      <c r="B49" s="26" t="s">
        <v>894</v>
      </c>
      <c r="C49" s="26" t="s">
        <v>895</v>
      </c>
      <c r="D49" s="26" t="s">
        <v>896</v>
      </c>
      <c r="E49" s="26" t="s">
        <v>945</v>
      </c>
      <c r="F49" s="26" t="s">
        <v>898</v>
      </c>
      <c r="G49" s="26">
        <v>0.0</v>
      </c>
      <c r="H49" s="26">
        <v>3015.9749</v>
      </c>
      <c r="I49" s="26">
        <v>1.0007</v>
      </c>
      <c r="J49" s="26">
        <v>3018.0875</v>
      </c>
      <c r="K49" s="26">
        <v>-2.1127</v>
      </c>
      <c r="L49" s="26">
        <v>0.0</v>
      </c>
    </row>
    <row r="50" ht="14.25" customHeight="1">
      <c r="A50" s="26" t="s">
        <v>893</v>
      </c>
      <c r="B50" s="26" t="s">
        <v>894</v>
      </c>
      <c r="C50" s="26" t="s">
        <v>895</v>
      </c>
      <c r="D50" s="26" t="s">
        <v>896</v>
      </c>
      <c r="E50" s="26" t="s">
        <v>946</v>
      </c>
      <c r="F50" s="26" t="s">
        <v>898</v>
      </c>
      <c r="G50" s="26">
        <v>-6.77</v>
      </c>
      <c r="H50" s="26">
        <v>3015.9749</v>
      </c>
      <c r="I50" s="26">
        <v>1.0007</v>
      </c>
      <c r="J50" s="26">
        <v>3018.0875</v>
      </c>
      <c r="K50" s="26">
        <v>-2.1127</v>
      </c>
      <c r="L50" s="26">
        <v>0.0</v>
      </c>
    </row>
    <row r="51" ht="14.25" customHeight="1">
      <c r="A51" s="26" t="s">
        <v>893</v>
      </c>
      <c r="B51" s="26" t="s">
        <v>894</v>
      </c>
      <c r="C51" s="26" t="s">
        <v>895</v>
      </c>
      <c r="D51" s="26" t="s">
        <v>896</v>
      </c>
      <c r="E51" s="26" t="s">
        <v>947</v>
      </c>
      <c r="F51" s="26" t="s">
        <v>898</v>
      </c>
      <c r="G51" s="26">
        <v>0.0</v>
      </c>
      <c r="H51" s="26">
        <v>3047.9666</v>
      </c>
      <c r="I51" s="26">
        <v>0.9902</v>
      </c>
      <c r="J51" s="26">
        <v>3018.0875</v>
      </c>
      <c r="K51" s="26">
        <v>29.8791</v>
      </c>
      <c r="L51" s="26">
        <v>0.0</v>
      </c>
    </row>
    <row r="52" ht="14.25" customHeight="1">
      <c r="A52" s="26" t="s">
        <v>893</v>
      </c>
      <c r="B52" s="26" t="s">
        <v>894</v>
      </c>
      <c r="C52" s="26" t="s">
        <v>895</v>
      </c>
      <c r="D52" s="26" t="s">
        <v>896</v>
      </c>
      <c r="E52" s="26" t="s">
        <v>948</v>
      </c>
      <c r="F52" s="26" t="s">
        <v>898</v>
      </c>
      <c r="G52" s="26">
        <v>-117.58</v>
      </c>
      <c r="H52" s="26">
        <v>3048.2684</v>
      </c>
      <c r="I52" s="26">
        <v>0.9901</v>
      </c>
      <c r="J52" s="26">
        <v>3018.0875</v>
      </c>
      <c r="K52" s="26">
        <v>30.1809</v>
      </c>
      <c r="L52" s="26">
        <v>0.0</v>
      </c>
    </row>
    <row r="53" ht="14.25" customHeight="1">
      <c r="A53" s="26" t="s">
        <v>893</v>
      </c>
      <c r="B53" s="26" t="s">
        <v>894</v>
      </c>
      <c r="C53" s="26" t="s">
        <v>895</v>
      </c>
      <c r="D53" s="26" t="s">
        <v>896</v>
      </c>
      <c r="E53" s="26" t="s">
        <v>949</v>
      </c>
      <c r="F53" s="26" t="s">
        <v>898</v>
      </c>
      <c r="G53" s="26">
        <v>0.0</v>
      </c>
      <c r="H53" s="26">
        <v>3045.2503</v>
      </c>
      <c r="I53" s="26">
        <v>0.991</v>
      </c>
      <c r="J53" s="26">
        <v>3018.0875</v>
      </c>
      <c r="K53" s="26">
        <v>27.1628</v>
      </c>
      <c r="L53" s="26">
        <v>0.0</v>
      </c>
    </row>
    <row r="54" ht="14.25" customHeight="1">
      <c r="A54" s="26" t="s">
        <v>893</v>
      </c>
      <c r="B54" s="26" t="s">
        <v>894</v>
      </c>
      <c r="C54" s="26" t="s">
        <v>895</v>
      </c>
      <c r="D54" s="26" t="s">
        <v>896</v>
      </c>
      <c r="E54" s="26" t="s">
        <v>950</v>
      </c>
      <c r="F54" s="26" t="s">
        <v>898</v>
      </c>
      <c r="G54" s="26">
        <v>-0.44</v>
      </c>
      <c r="H54" s="26">
        <v>3045.5521</v>
      </c>
      <c r="I54" s="26">
        <v>0.991</v>
      </c>
      <c r="J54" s="26">
        <v>3018.0875</v>
      </c>
      <c r="K54" s="26">
        <v>27.4646</v>
      </c>
      <c r="L54" s="26">
        <v>0.0</v>
      </c>
    </row>
    <row r="55" ht="14.25" customHeight="1">
      <c r="A55" s="26" t="s">
        <v>893</v>
      </c>
      <c r="B55" s="26" t="s">
        <v>894</v>
      </c>
      <c r="C55" s="26" t="s">
        <v>895</v>
      </c>
      <c r="D55" s="26" t="s">
        <v>896</v>
      </c>
      <c r="E55" s="26" t="s">
        <v>951</v>
      </c>
      <c r="F55" s="26" t="s">
        <v>898</v>
      </c>
      <c r="G55" s="26">
        <v>0.0</v>
      </c>
      <c r="H55" s="26">
        <v>3018.0875</v>
      </c>
      <c r="I55" s="26">
        <v>1.0</v>
      </c>
      <c r="J55" s="26">
        <v>3018.0875</v>
      </c>
      <c r="K55" s="26">
        <v>0.0</v>
      </c>
      <c r="L55" s="26">
        <v>0.0</v>
      </c>
    </row>
    <row r="56" ht="14.25" customHeight="1">
      <c r="A56" s="26" t="s">
        <v>893</v>
      </c>
      <c r="B56" s="26" t="s">
        <v>894</v>
      </c>
      <c r="C56" s="26" t="s">
        <v>895</v>
      </c>
      <c r="D56" s="26" t="s">
        <v>896</v>
      </c>
      <c r="E56" s="26" t="s">
        <v>952</v>
      </c>
      <c r="F56" s="26" t="s">
        <v>898</v>
      </c>
      <c r="G56" s="26">
        <v>0.0</v>
      </c>
      <c r="H56" s="26">
        <v>3045.5521</v>
      </c>
      <c r="I56" s="26">
        <v>0.991</v>
      </c>
      <c r="J56" s="26">
        <v>3018.0875</v>
      </c>
      <c r="K56" s="26">
        <v>27.4646</v>
      </c>
      <c r="L56" s="26">
        <v>0.0</v>
      </c>
    </row>
    <row r="57" ht="14.25" customHeight="1">
      <c r="A57" s="26" t="s">
        <v>893</v>
      </c>
      <c r="B57" s="26" t="s">
        <v>894</v>
      </c>
      <c r="C57" s="26" t="s">
        <v>895</v>
      </c>
      <c r="D57" s="26" t="s">
        <v>896</v>
      </c>
      <c r="E57" s="26" t="s">
        <v>953</v>
      </c>
      <c r="F57" s="26" t="s">
        <v>898</v>
      </c>
      <c r="G57" s="26">
        <v>-21.52</v>
      </c>
      <c r="H57" s="26">
        <v>3045.5521</v>
      </c>
      <c r="I57" s="26">
        <v>0.991</v>
      </c>
      <c r="J57" s="26">
        <v>3018.0875</v>
      </c>
      <c r="K57" s="26">
        <v>27.4646</v>
      </c>
      <c r="L57" s="26">
        <v>0.0</v>
      </c>
    </row>
    <row r="58" ht="14.25" customHeight="1">
      <c r="A58" s="26" t="s">
        <v>893</v>
      </c>
      <c r="B58" s="26" t="s">
        <v>894</v>
      </c>
      <c r="C58" s="26" t="s">
        <v>895</v>
      </c>
      <c r="D58" s="26" t="s">
        <v>896</v>
      </c>
      <c r="E58" s="26" t="s">
        <v>954</v>
      </c>
      <c r="F58" s="26" t="s">
        <v>898</v>
      </c>
      <c r="G58" s="26">
        <v>0.0</v>
      </c>
      <c r="H58" s="26">
        <v>3018.0875</v>
      </c>
      <c r="I58" s="26">
        <v>1.0</v>
      </c>
      <c r="J58" s="26">
        <v>3018.0875</v>
      </c>
      <c r="K58" s="26">
        <v>0.0</v>
      </c>
      <c r="L58" s="26">
        <v>0.0</v>
      </c>
    </row>
    <row r="59" ht="14.25" customHeight="1">
      <c r="A59" s="26" t="s">
        <v>893</v>
      </c>
      <c r="B59" s="26" t="s">
        <v>894</v>
      </c>
      <c r="C59" s="26" t="s">
        <v>895</v>
      </c>
      <c r="D59" s="26" t="s">
        <v>896</v>
      </c>
      <c r="E59" s="26" t="s">
        <v>955</v>
      </c>
      <c r="F59" s="26" t="s">
        <v>898</v>
      </c>
      <c r="G59" s="26">
        <v>0.0</v>
      </c>
      <c r="H59" s="26">
        <v>3018.0875</v>
      </c>
      <c r="I59" s="26">
        <v>1.0</v>
      </c>
      <c r="J59" s="26">
        <v>3018.0875</v>
      </c>
      <c r="K59" s="26">
        <v>0.0</v>
      </c>
      <c r="L59" s="26">
        <v>0.0</v>
      </c>
    </row>
    <row r="60" ht="14.25" customHeight="1">
      <c r="A60" s="26" t="s">
        <v>893</v>
      </c>
      <c r="B60" s="26" t="s">
        <v>894</v>
      </c>
      <c r="C60" s="26" t="s">
        <v>895</v>
      </c>
      <c r="D60" s="26" t="s">
        <v>896</v>
      </c>
      <c r="E60" s="26" t="s">
        <v>956</v>
      </c>
      <c r="F60" s="26" t="s">
        <v>898</v>
      </c>
      <c r="G60" s="26">
        <v>-60.56</v>
      </c>
      <c r="H60" s="26">
        <v>3028.0472</v>
      </c>
      <c r="I60" s="26">
        <v>0.9967</v>
      </c>
      <c r="J60" s="26">
        <v>3018.0875</v>
      </c>
      <c r="K60" s="26">
        <v>9.9597</v>
      </c>
      <c r="L60" s="26">
        <v>0.0</v>
      </c>
    </row>
    <row r="61" ht="14.25" customHeight="1">
      <c r="A61" s="26" t="s">
        <v>893</v>
      </c>
      <c r="B61" s="26" t="s">
        <v>894</v>
      </c>
      <c r="C61" s="26" t="s">
        <v>895</v>
      </c>
      <c r="D61" s="26" t="s">
        <v>896</v>
      </c>
      <c r="E61" s="26" t="s">
        <v>957</v>
      </c>
      <c r="F61" s="26" t="s">
        <v>898</v>
      </c>
      <c r="G61" s="26">
        <v>-60.65</v>
      </c>
      <c r="H61" s="26">
        <v>3018.0875</v>
      </c>
      <c r="I61" s="26">
        <v>1.0</v>
      </c>
      <c r="J61" s="26">
        <v>3018.0875</v>
      </c>
      <c r="K61" s="26">
        <v>0.0</v>
      </c>
      <c r="L61" s="26">
        <v>0.0</v>
      </c>
    </row>
    <row r="62" ht="14.25" customHeight="1">
      <c r="A62" s="26" t="s">
        <v>893</v>
      </c>
      <c r="B62" s="26" t="s">
        <v>894</v>
      </c>
      <c r="C62" s="26" t="s">
        <v>895</v>
      </c>
      <c r="D62" s="26" t="s">
        <v>896</v>
      </c>
      <c r="E62" s="26" t="s">
        <v>958</v>
      </c>
      <c r="F62" s="26" t="s">
        <v>898</v>
      </c>
      <c r="G62" s="26">
        <v>-44.45</v>
      </c>
      <c r="H62" s="26">
        <v>3018.0875</v>
      </c>
      <c r="I62" s="26">
        <v>1.0</v>
      </c>
      <c r="J62" s="26">
        <v>3018.0875</v>
      </c>
      <c r="K62" s="26">
        <v>0.0</v>
      </c>
      <c r="L62" s="26">
        <v>0.0</v>
      </c>
    </row>
    <row r="63" ht="14.25" customHeight="1">
      <c r="A63" s="26" t="s">
        <v>893</v>
      </c>
      <c r="B63" s="26" t="s">
        <v>894</v>
      </c>
      <c r="C63" s="26" t="s">
        <v>895</v>
      </c>
      <c r="D63" s="26" t="s">
        <v>896</v>
      </c>
      <c r="E63" s="26" t="s">
        <v>959</v>
      </c>
      <c r="F63" s="26" t="s">
        <v>898</v>
      </c>
      <c r="G63" s="26">
        <v>-135.71</v>
      </c>
      <c r="H63" s="26">
        <v>3035.8942</v>
      </c>
      <c r="I63" s="26">
        <v>0.9941</v>
      </c>
      <c r="J63" s="26">
        <v>3018.0875</v>
      </c>
      <c r="K63" s="26">
        <v>17.8067</v>
      </c>
      <c r="L63" s="26">
        <v>0.0</v>
      </c>
    </row>
    <row r="64" ht="14.25" customHeight="1">
      <c r="A64" s="26" t="s">
        <v>893</v>
      </c>
      <c r="B64" s="26" t="s">
        <v>894</v>
      </c>
      <c r="C64" s="26" t="s">
        <v>895</v>
      </c>
      <c r="D64" s="26" t="s">
        <v>896</v>
      </c>
      <c r="E64" s="26" t="s">
        <v>960</v>
      </c>
      <c r="F64" s="26" t="s">
        <v>898</v>
      </c>
      <c r="G64" s="26">
        <v>-3.94</v>
      </c>
      <c r="H64" s="26">
        <v>2969.4963</v>
      </c>
      <c r="I64" s="26">
        <v>1.0164</v>
      </c>
      <c r="J64" s="26">
        <v>3018.0875</v>
      </c>
      <c r="K64" s="26">
        <v>-48.5912</v>
      </c>
      <c r="L64" s="26">
        <v>0.0</v>
      </c>
    </row>
    <row r="65" ht="14.25" customHeight="1">
      <c r="A65" s="26" t="s">
        <v>893</v>
      </c>
      <c r="B65" s="26" t="s">
        <v>894</v>
      </c>
      <c r="C65" s="26" t="s">
        <v>895</v>
      </c>
      <c r="D65" s="26" t="s">
        <v>896</v>
      </c>
      <c r="E65" s="26" t="s">
        <v>961</v>
      </c>
      <c r="F65" s="26" t="s">
        <v>898</v>
      </c>
      <c r="G65" s="26">
        <v>0.0</v>
      </c>
      <c r="H65" s="26">
        <v>3018.0875</v>
      </c>
      <c r="I65" s="26">
        <v>1.0</v>
      </c>
      <c r="J65" s="26">
        <v>3018.0875</v>
      </c>
      <c r="K65" s="26">
        <v>0.0</v>
      </c>
      <c r="L65" s="26">
        <v>0.0</v>
      </c>
    </row>
    <row r="66" ht="14.25" customHeight="1">
      <c r="A66" s="26" t="s">
        <v>893</v>
      </c>
      <c r="B66" s="26" t="s">
        <v>894</v>
      </c>
      <c r="C66" s="26" t="s">
        <v>895</v>
      </c>
      <c r="D66" s="26" t="s">
        <v>896</v>
      </c>
      <c r="E66" s="26" t="s">
        <v>962</v>
      </c>
      <c r="F66" s="26" t="s">
        <v>898</v>
      </c>
      <c r="G66" s="26">
        <v>-0.02</v>
      </c>
      <c r="H66" s="26">
        <v>2969.4963</v>
      </c>
      <c r="I66" s="26">
        <v>1.0164</v>
      </c>
      <c r="J66" s="26">
        <v>3018.0875</v>
      </c>
      <c r="K66" s="26">
        <v>-48.5912</v>
      </c>
      <c r="L66" s="26">
        <v>0.0</v>
      </c>
    </row>
    <row r="67" ht="14.25" customHeight="1">
      <c r="A67" s="26" t="s">
        <v>893</v>
      </c>
      <c r="B67" s="26" t="s">
        <v>894</v>
      </c>
      <c r="C67" s="26" t="s">
        <v>895</v>
      </c>
      <c r="D67" s="26" t="s">
        <v>896</v>
      </c>
      <c r="E67" s="26" t="s">
        <v>963</v>
      </c>
      <c r="F67" s="26" t="s">
        <v>898</v>
      </c>
      <c r="G67" s="26">
        <v>0.0</v>
      </c>
      <c r="H67" s="26">
        <v>3001.1862</v>
      </c>
      <c r="I67" s="26">
        <v>1.0057</v>
      </c>
      <c r="J67" s="26">
        <v>3018.0875</v>
      </c>
      <c r="K67" s="26">
        <v>-16.9013</v>
      </c>
      <c r="L67" s="26">
        <v>0.0</v>
      </c>
    </row>
    <row r="68" ht="14.25" customHeight="1">
      <c r="A68" s="26" t="s">
        <v>893</v>
      </c>
      <c r="B68" s="26" t="s">
        <v>894</v>
      </c>
      <c r="C68" s="26" t="s">
        <v>895</v>
      </c>
      <c r="D68" s="26" t="s">
        <v>896</v>
      </c>
      <c r="E68" s="26" t="s">
        <v>964</v>
      </c>
      <c r="F68" s="26" t="s">
        <v>898</v>
      </c>
      <c r="G68" s="26">
        <v>0.0</v>
      </c>
      <c r="H68" s="26">
        <v>3001.1862</v>
      </c>
      <c r="I68" s="26">
        <v>1.0057</v>
      </c>
      <c r="J68" s="26">
        <v>3018.0875</v>
      </c>
      <c r="K68" s="26">
        <v>-16.9013</v>
      </c>
      <c r="L68" s="26">
        <v>0.0</v>
      </c>
    </row>
    <row r="69" ht="14.25" customHeight="1">
      <c r="A69" s="26" t="s">
        <v>893</v>
      </c>
      <c r="B69" s="26" t="s">
        <v>894</v>
      </c>
      <c r="C69" s="26" t="s">
        <v>895</v>
      </c>
      <c r="D69" s="26" t="s">
        <v>896</v>
      </c>
      <c r="E69" s="26" t="s">
        <v>965</v>
      </c>
      <c r="F69" s="26" t="s">
        <v>898</v>
      </c>
      <c r="G69" s="26">
        <v>-36.69</v>
      </c>
      <c r="H69" s="26">
        <v>3001.1862</v>
      </c>
      <c r="I69" s="26">
        <v>1.0057</v>
      </c>
      <c r="J69" s="26">
        <v>3018.0875</v>
      </c>
      <c r="K69" s="26">
        <v>-16.9013</v>
      </c>
      <c r="L69" s="26">
        <v>0.0</v>
      </c>
    </row>
    <row r="70" ht="14.25" customHeight="1">
      <c r="A70" s="26" t="s">
        <v>893</v>
      </c>
      <c r="B70" s="26" t="s">
        <v>894</v>
      </c>
      <c r="C70" s="26" t="s">
        <v>895</v>
      </c>
      <c r="D70" s="26" t="s">
        <v>896</v>
      </c>
      <c r="E70" s="26" t="s">
        <v>966</v>
      </c>
      <c r="F70" s="26" t="s">
        <v>898</v>
      </c>
      <c r="G70" s="26">
        <v>-26.98</v>
      </c>
      <c r="H70" s="26">
        <v>2949.2751</v>
      </c>
      <c r="I70" s="26">
        <v>1.0233</v>
      </c>
      <c r="J70" s="26">
        <v>3018.0875</v>
      </c>
      <c r="K70" s="26">
        <v>-68.8124</v>
      </c>
      <c r="L70" s="26">
        <v>0.0</v>
      </c>
    </row>
    <row r="71" ht="14.25" customHeight="1">
      <c r="A71" s="26" t="s">
        <v>893</v>
      </c>
      <c r="B71" s="26" t="s">
        <v>894</v>
      </c>
      <c r="C71" s="26" t="s">
        <v>895</v>
      </c>
      <c r="D71" s="26" t="s">
        <v>896</v>
      </c>
      <c r="E71" s="26" t="s">
        <v>967</v>
      </c>
      <c r="F71" s="26" t="s">
        <v>898</v>
      </c>
      <c r="G71" s="26">
        <v>-19.76</v>
      </c>
      <c r="H71" s="26">
        <v>3005.7134</v>
      </c>
      <c r="I71" s="26">
        <v>1.0042</v>
      </c>
      <c r="J71" s="26">
        <v>3018.0875</v>
      </c>
      <c r="K71" s="26">
        <v>-12.3742</v>
      </c>
      <c r="L71" s="26">
        <v>0.0</v>
      </c>
    </row>
    <row r="72" ht="14.25" customHeight="1">
      <c r="A72" s="26" t="s">
        <v>893</v>
      </c>
      <c r="B72" s="26" t="s">
        <v>894</v>
      </c>
      <c r="C72" s="26" t="s">
        <v>895</v>
      </c>
      <c r="D72" s="26" t="s">
        <v>896</v>
      </c>
      <c r="E72" s="26" t="s">
        <v>968</v>
      </c>
      <c r="F72" s="26" t="s">
        <v>898</v>
      </c>
      <c r="G72" s="26">
        <v>-18.29</v>
      </c>
      <c r="H72" s="26">
        <v>3005.7134</v>
      </c>
      <c r="I72" s="26">
        <v>1.0042</v>
      </c>
      <c r="J72" s="26">
        <v>3018.0875</v>
      </c>
      <c r="K72" s="26">
        <v>-12.3742</v>
      </c>
      <c r="L72" s="26">
        <v>0.0</v>
      </c>
    </row>
    <row r="73" ht="14.25" customHeight="1">
      <c r="A73" s="26" t="s">
        <v>893</v>
      </c>
      <c r="B73" s="26" t="s">
        <v>894</v>
      </c>
      <c r="C73" s="26" t="s">
        <v>895</v>
      </c>
      <c r="D73" s="26" t="s">
        <v>896</v>
      </c>
      <c r="E73" s="26" t="s">
        <v>969</v>
      </c>
      <c r="F73" s="26" t="s">
        <v>898</v>
      </c>
      <c r="G73" s="26">
        <v>0.0</v>
      </c>
      <c r="H73" s="26">
        <v>3001.1862</v>
      </c>
      <c r="I73" s="26">
        <v>1.0057</v>
      </c>
      <c r="J73" s="26">
        <v>3018.0875</v>
      </c>
      <c r="K73" s="26">
        <v>-16.9013</v>
      </c>
      <c r="L73" s="26">
        <v>0.0</v>
      </c>
    </row>
    <row r="74" ht="14.25" customHeight="1">
      <c r="A74" s="26" t="s">
        <v>893</v>
      </c>
      <c r="B74" s="26" t="s">
        <v>894</v>
      </c>
      <c r="C74" s="26" t="s">
        <v>895</v>
      </c>
      <c r="D74" s="26" t="s">
        <v>896</v>
      </c>
      <c r="E74" s="26" t="s">
        <v>970</v>
      </c>
      <c r="F74" s="26" t="s">
        <v>898</v>
      </c>
      <c r="G74" s="26">
        <v>-45.53</v>
      </c>
      <c r="H74" s="26">
        <v>3008.1278</v>
      </c>
      <c r="I74" s="26">
        <v>1.0033</v>
      </c>
      <c r="J74" s="26">
        <v>3018.0875</v>
      </c>
      <c r="K74" s="26">
        <v>-9.9597</v>
      </c>
      <c r="L74" s="26">
        <v>0.0</v>
      </c>
    </row>
    <row r="75" ht="14.25" customHeight="1">
      <c r="A75" s="26" t="s">
        <v>893</v>
      </c>
      <c r="B75" s="26" t="s">
        <v>894</v>
      </c>
      <c r="C75" s="26" t="s">
        <v>895</v>
      </c>
      <c r="D75" s="26" t="s">
        <v>896</v>
      </c>
      <c r="E75" s="26" t="s">
        <v>971</v>
      </c>
      <c r="F75" s="26" t="s">
        <v>898</v>
      </c>
      <c r="G75" s="26">
        <v>-39.01</v>
      </c>
      <c r="H75" s="26">
        <v>3008.1278</v>
      </c>
      <c r="I75" s="26">
        <v>1.0033</v>
      </c>
      <c r="J75" s="26">
        <v>3018.0875</v>
      </c>
      <c r="K75" s="26">
        <v>-9.9597</v>
      </c>
      <c r="L75" s="26">
        <v>0.0</v>
      </c>
    </row>
    <row r="76" ht="14.25" customHeight="1">
      <c r="A76" s="26" t="s">
        <v>893</v>
      </c>
      <c r="B76" s="26" t="s">
        <v>894</v>
      </c>
      <c r="C76" s="26" t="s">
        <v>895</v>
      </c>
      <c r="D76" s="26" t="s">
        <v>896</v>
      </c>
      <c r="E76" s="26" t="s">
        <v>972</v>
      </c>
      <c r="F76" s="26" t="s">
        <v>898</v>
      </c>
      <c r="G76" s="26">
        <v>-0.37</v>
      </c>
      <c r="H76" s="26">
        <v>3008.1278</v>
      </c>
      <c r="I76" s="26">
        <v>1.0033</v>
      </c>
      <c r="J76" s="26">
        <v>3018.0875</v>
      </c>
      <c r="K76" s="26">
        <v>-9.9597</v>
      </c>
      <c r="L76" s="26">
        <v>0.0</v>
      </c>
    </row>
    <row r="77" ht="14.25" customHeight="1">
      <c r="A77" s="26" t="s">
        <v>893</v>
      </c>
      <c r="B77" s="26" t="s">
        <v>894</v>
      </c>
      <c r="C77" s="26" t="s">
        <v>895</v>
      </c>
      <c r="D77" s="26" t="s">
        <v>896</v>
      </c>
      <c r="E77" s="26" t="s">
        <v>973</v>
      </c>
      <c r="F77" s="26" t="s">
        <v>898</v>
      </c>
      <c r="G77" s="26">
        <v>0.0</v>
      </c>
      <c r="H77" s="26">
        <v>3008.1278</v>
      </c>
      <c r="I77" s="26">
        <v>1.0033</v>
      </c>
      <c r="J77" s="26">
        <v>3018.0875</v>
      </c>
      <c r="K77" s="26">
        <v>-9.9597</v>
      </c>
      <c r="L77" s="26">
        <v>0.0</v>
      </c>
    </row>
    <row r="78" ht="14.25" customHeight="1">
      <c r="A78" s="26" t="s">
        <v>893</v>
      </c>
      <c r="B78" s="26" t="s">
        <v>894</v>
      </c>
      <c r="C78" s="26" t="s">
        <v>895</v>
      </c>
      <c r="D78" s="26" t="s">
        <v>896</v>
      </c>
      <c r="E78" s="26" t="s">
        <v>974</v>
      </c>
      <c r="F78" s="26" t="s">
        <v>898</v>
      </c>
      <c r="G78" s="26">
        <v>0.0</v>
      </c>
      <c r="H78" s="26">
        <v>3011.1459</v>
      </c>
      <c r="I78" s="26">
        <v>1.0023</v>
      </c>
      <c r="J78" s="26">
        <v>3018.0875</v>
      </c>
      <c r="K78" s="26">
        <v>-6.9416</v>
      </c>
      <c r="L78" s="26">
        <v>0.0</v>
      </c>
    </row>
    <row r="79" ht="14.25" customHeight="1">
      <c r="A79" s="26" t="s">
        <v>893</v>
      </c>
      <c r="B79" s="26" t="s">
        <v>894</v>
      </c>
      <c r="C79" s="26" t="s">
        <v>895</v>
      </c>
      <c r="D79" s="26" t="s">
        <v>896</v>
      </c>
      <c r="E79" s="26" t="s">
        <v>975</v>
      </c>
      <c r="F79" s="26" t="s">
        <v>898</v>
      </c>
      <c r="G79" s="26">
        <v>0.0</v>
      </c>
      <c r="H79" s="26">
        <v>2944.748</v>
      </c>
      <c r="I79" s="26">
        <v>1.0249</v>
      </c>
      <c r="J79" s="26">
        <v>3018.0875</v>
      </c>
      <c r="K79" s="26">
        <v>-73.3395</v>
      </c>
      <c r="L79" s="26">
        <v>0.0</v>
      </c>
    </row>
    <row r="80" ht="14.25" customHeight="1">
      <c r="A80" s="26" t="s">
        <v>893</v>
      </c>
      <c r="B80" s="26" t="s">
        <v>894</v>
      </c>
      <c r="C80" s="26" t="s">
        <v>895</v>
      </c>
      <c r="D80" s="26" t="s">
        <v>896</v>
      </c>
      <c r="E80" s="26" t="s">
        <v>976</v>
      </c>
      <c r="F80" s="26" t="s">
        <v>898</v>
      </c>
      <c r="G80" s="26">
        <v>-23.92</v>
      </c>
      <c r="H80" s="26">
        <v>2945.3516</v>
      </c>
      <c r="I80" s="26">
        <v>1.0247</v>
      </c>
      <c r="J80" s="26">
        <v>3018.0875</v>
      </c>
      <c r="K80" s="26">
        <v>-72.7359</v>
      </c>
      <c r="L80" s="26">
        <v>0.0</v>
      </c>
    </row>
    <row r="81" ht="14.25" customHeight="1">
      <c r="A81" s="26" t="s">
        <v>893</v>
      </c>
      <c r="B81" s="26" t="s">
        <v>894</v>
      </c>
      <c r="C81" s="26" t="s">
        <v>895</v>
      </c>
      <c r="D81" s="26" t="s">
        <v>896</v>
      </c>
      <c r="E81" s="26" t="s">
        <v>977</v>
      </c>
      <c r="F81" s="26" t="s">
        <v>898</v>
      </c>
      <c r="G81" s="26">
        <v>-60.22</v>
      </c>
      <c r="H81" s="26">
        <v>2945.3516</v>
      </c>
      <c r="I81" s="26">
        <v>1.0247</v>
      </c>
      <c r="J81" s="26">
        <v>3018.0875</v>
      </c>
      <c r="K81" s="26">
        <v>-72.7359</v>
      </c>
      <c r="L81" s="26">
        <v>0.0</v>
      </c>
    </row>
    <row r="82" ht="14.25" customHeight="1">
      <c r="A82" s="26" t="s">
        <v>893</v>
      </c>
      <c r="B82" s="26" t="s">
        <v>894</v>
      </c>
      <c r="C82" s="26" t="s">
        <v>895</v>
      </c>
      <c r="D82" s="26" t="s">
        <v>896</v>
      </c>
      <c r="E82" s="26" t="s">
        <v>978</v>
      </c>
      <c r="F82" s="26" t="s">
        <v>898</v>
      </c>
      <c r="G82" s="26">
        <v>0.0</v>
      </c>
      <c r="H82" s="26">
        <v>3036.7997</v>
      </c>
      <c r="I82" s="26">
        <v>0.9939</v>
      </c>
      <c r="J82" s="26">
        <v>3018.0875</v>
      </c>
      <c r="K82" s="26">
        <v>18.7121</v>
      </c>
      <c r="L82" s="26">
        <v>0.0</v>
      </c>
    </row>
    <row r="83" ht="14.25" customHeight="1">
      <c r="A83" s="26" t="s">
        <v>893</v>
      </c>
      <c r="B83" s="26" t="s">
        <v>894</v>
      </c>
      <c r="C83" s="26" t="s">
        <v>895</v>
      </c>
      <c r="D83" s="26" t="s">
        <v>896</v>
      </c>
      <c r="E83" s="26" t="s">
        <v>979</v>
      </c>
      <c r="F83" s="26" t="s">
        <v>898</v>
      </c>
      <c r="G83" s="26">
        <v>-45.94</v>
      </c>
      <c r="H83" s="26">
        <v>3036.7997</v>
      </c>
      <c r="I83" s="26">
        <v>0.9939</v>
      </c>
      <c r="J83" s="26">
        <v>3018.0875</v>
      </c>
      <c r="K83" s="26">
        <v>18.7121</v>
      </c>
      <c r="L83" s="26">
        <v>0.0</v>
      </c>
    </row>
    <row r="84" ht="14.25" customHeight="1">
      <c r="A84" s="26" t="s">
        <v>893</v>
      </c>
      <c r="B84" s="26" t="s">
        <v>894</v>
      </c>
      <c r="C84" s="26" t="s">
        <v>895</v>
      </c>
      <c r="D84" s="26" t="s">
        <v>896</v>
      </c>
      <c r="E84" s="26" t="s">
        <v>980</v>
      </c>
      <c r="F84" s="26" t="s">
        <v>898</v>
      </c>
      <c r="G84" s="26">
        <v>-35.13</v>
      </c>
      <c r="H84" s="26">
        <v>3036.7997</v>
      </c>
      <c r="I84" s="26">
        <v>0.9939</v>
      </c>
      <c r="J84" s="26">
        <v>3018.0875</v>
      </c>
      <c r="K84" s="26">
        <v>18.7121</v>
      </c>
      <c r="L84" s="26">
        <v>0.0</v>
      </c>
    </row>
    <row r="85" ht="14.25" customHeight="1">
      <c r="A85" s="26" t="s">
        <v>893</v>
      </c>
      <c r="B85" s="26" t="s">
        <v>894</v>
      </c>
      <c r="C85" s="26" t="s">
        <v>895</v>
      </c>
      <c r="D85" s="26" t="s">
        <v>896</v>
      </c>
      <c r="E85" s="26" t="s">
        <v>981</v>
      </c>
      <c r="F85" s="26" t="s">
        <v>898</v>
      </c>
      <c r="G85" s="26">
        <v>-32.0</v>
      </c>
      <c r="H85" s="26">
        <v>3036.7997</v>
      </c>
      <c r="I85" s="26">
        <v>0.9939</v>
      </c>
      <c r="J85" s="26">
        <v>3018.0875</v>
      </c>
      <c r="K85" s="26">
        <v>18.7121</v>
      </c>
      <c r="L85" s="26">
        <v>0.0</v>
      </c>
    </row>
    <row r="86" ht="14.25" customHeight="1">
      <c r="A86" s="26" t="s">
        <v>893</v>
      </c>
      <c r="B86" s="26" t="s">
        <v>894</v>
      </c>
      <c r="C86" s="26" t="s">
        <v>895</v>
      </c>
      <c r="D86" s="26" t="s">
        <v>896</v>
      </c>
      <c r="E86" s="26" t="s">
        <v>982</v>
      </c>
      <c r="F86" s="26" t="s">
        <v>898</v>
      </c>
      <c r="G86" s="26">
        <v>-30.45</v>
      </c>
      <c r="H86" s="26">
        <v>3036.7997</v>
      </c>
      <c r="I86" s="26">
        <v>0.9939</v>
      </c>
      <c r="J86" s="26">
        <v>3018.0875</v>
      </c>
      <c r="K86" s="26">
        <v>18.7121</v>
      </c>
      <c r="L86" s="26">
        <v>0.0</v>
      </c>
    </row>
    <row r="87" ht="14.25" customHeight="1">
      <c r="A87" s="26" t="s">
        <v>893</v>
      </c>
      <c r="B87" s="26" t="s">
        <v>894</v>
      </c>
      <c r="C87" s="26" t="s">
        <v>895</v>
      </c>
      <c r="D87" s="26" t="s">
        <v>896</v>
      </c>
      <c r="E87" s="26" t="s">
        <v>983</v>
      </c>
      <c r="F87" s="26" t="s">
        <v>898</v>
      </c>
      <c r="G87" s="26">
        <v>0.0</v>
      </c>
      <c r="H87" s="26">
        <v>3036.7997</v>
      </c>
      <c r="I87" s="26">
        <v>0.9939</v>
      </c>
      <c r="J87" s="26">
        <v>3018.0875</v>
      </c>
      <c r="K87" s="26">
        <v>18.7121</v>
      </c>
      <c r="L87" s="26">
        <v>0.0</v>
      </c>
    </row>
    <row r="88" ht="14.25" customHeight="1">
      <c r="A88" s="26" t="s">
        <v>893</v>
      </c>
      <c r="B88" s="26" t="s">
        <v>894</v>
      </c>
      <c r="C88" s="26" t="s">
        <v>895</v>
      </c>
      <c r="D88" s="26" t="s">
        <v>896</v>
      </c>
      <c r="E88" s="26" t="s">
        <v>984</v>
      </c>
      <c r="F88" s="26" t="s">
        <v>898</v>
      </c>
      <c r="G88" s="26">
        <v>-46.55</v>
      </c>
      <c r="H88" s="26">
        <v>3036.7997</v>
      </c>
      <c r="I88" s="26">
        <v>0.9939</v>
      </c>
      <c r="J88" s="26">
        <v>3018.0875</v>
      </c>
      <c r="K88" s="26">
        <v>18.7121</v>
      </c>
      <c r="L88" s="26">
        <v>0.0</v>
      </c>
    </row>
    <row r="89" ht="14.25" customHeight="1">
      <c r="A89" s="26" t="s">
        <v>893</v>
      </c>
      <c r="B89" s="26" t="s">
        <v>894</v>
      </c>
      <c r="C89" s="26" t="s">
        <v>895</v>
      </c>
      <c r="D89" s="26" t="s">
        <v>896</v>
      </c>
      <c r="E89" s="26" t="s">
        <v>985</v>
      </c>
      <c r="F89" s="26" t="s">
        <v>898</v>
      </c>
      <c r="G89" s="26">
        <v>0.0</v>
      </c>
      <c r="H89" s="26">
        <v>3034.687</v>
      </c>
      <c r="I89" s="26">
        <v>0.9946</v>
      </c>
      <c r="J89" s="26">
        <v>3018.0875</v>
      </c>
      <c r="K89" s="26">
        <v>16.5995</v>
      </c>
      <c r="L89" s="26">
        <v>0.0</v>
      </c>
    </row>
    <row r="90" ht="14.25" customHeight="1">
      <c r="A90" s="26" t="s">
        <v>893</v>
      </c>
      <c r="B90" s="26" t="s">
        <v>894</v>
      </c>
      <c r="C90" s="26" t="s">
        <v>895</v>
      </c>
      <c r="D90" s="26" t="s">
        <v>896</v>
      </c>
      <c r="E90" s="26" t="s">
        <v>986</v>
      </c>
      <c r="F90" s="26" t="s">
        <v>898</v>
      </c>
      <c r="G90" s="26">
        <v>0.0</v>
      </c>
      <c r="H90" s="26">
        <v>3018.0875</v>
      </c>
      <c r="I90" s="26">
        <v>1.0</v>
      </c>
      <c r="J90" s="26">
        <v>3018.0875</v>
      </c>
      <c r="K90" s="26">
        <v>0.0</v>
      </c>
      <c r="L90" s="26">
        <v>0.0</v>
      </c>
    </row>
    <row r="91" ht="14.25" customHeight="1">
      <c r="A91" s="26" t="s">
        <v>893</v>
      </c>
      <c r="B91" s="26" t="s">
        <v>894</v>
      </c>
      <c r="C91" s="26" t="s">
        <v>895</v>
      </c>
      <c r="D91" s="26" t="s">
        <v>896</v>
      </c>
      <c r="E91" s="26" t="s">
        <v>987</v>
      </c>
      <c r="F91" s="26" t="s">
        <v>898</v>
      </c>
      <c r="G91" s="26">
        <v>-24.12</v>
      </c>
      <c r="H91" s="26">
        <v>3018.0875</v>
      </c>
      <c r="I91" s="26">
        <v>1.0</v>
      </c>
      <c r="J91" s="26">
        <v>3018.0875</v>
      </c>
      <c r="K91" s="26">
        <v>0.0</v>
      </c>
      <c r="L91" s="26">
        <v>0.0</v>
      </c>
    </row>
    <row r="92" ht="14.25" customHeight="1">
      <c r="A92" s="26" t="s">
        <v>893</v>
      </c>
      <c r="B92" s="26" t="s">
        <v>894</v>
      </c>
      <c r="C92" s="26" t="s">
        <v>895</v>
      </c>
      <c r="D92" s="26" t="s">
        <v>896</v>
      </c>
      <c r="E92" s="26" t="s">
        <v>988</v>
      </c>
      <c r="F92" s="26" t="s">
        <v>898</v>
      </c>
      <c r="G92" s="26">
        <v>-8.59</v>
      </c>
      <c r="H92" s="26">
        <v>3018.0875</v>
      </c>
      <c r="I92" s="26">
        <v>1.0</v>
      </c>
      <c r="J92" s="26">
        <v>3018.0875</v>
      </c>
      <c r="K92" s="26">
        <v>0.0</v>
      </c>
      <c r="L92" s="26">
        <v>0.0</v>
      </c>
    </row>
    <row r="93" ht="14.25" customHeight="1">
      <c r="A93" s="26" t="s">
        <v>893</v>
      </c>
      <c r="B93" s="26" t="s">
        <v>894</v>
      </c>
      <c r="C93" s="26" t="s">
        <v>895</v>
      </c>
      <c r="D93" s="26" t="s">
        <v>896</v>
      </c>
      <c r="E93" s="26" t="s">
        <v>989</v>
      </c>
      <c r="F93" s="26" t="s">
        <v>898</v>
      </c>
      <c r="G93" s="26">
        <v>-1.86</v>
      </c>
      <c r="H93" s="26">
        <v>3018.0875</v>
      </c>
      <c r="I93" s="26">
        <v>1.0</v>
      </c>
      <c r="J93" s="26">
        <v>3018.0875</v>
      </c>
      <c r="K93" s="26">
        <v>0.0</v>
      </c>
      <c r="L93" s="26">
        <v>0.0</v>
      </c>
    </row>
    <row r="94" ht="14.25" customHeight="1">
      <c r="A94" s="26" t="s">
        <v>893</v>
      </c>
      <c r="B94" s="26" t="s">
        <v>894</v>
      </c>
      <c r="C94" s="26" t="s">
        <v>895</v>
      </c>
      <c r="D94" s="26" t="s">
        <v>896</v>
      </c>
      <c r="E94" s="26" t="s">
        <v>990</v>
      </c>
      <c r="F94" s="26" t="s">
        <v>898</v>
      </c>
      <c r="G94" s="26">
        <v>0.0</v>
      </c>
      <c r="H94" s="26">
        <v>3018.0875</v>
      </c>
      <c r="I94" s="26">
        <v>1.0</v>
      </c>
      <c r="J94" s="26">
        <v>3018.0875</v>
      </c>
      <c r="K94" s="26">
        <v>0.0</v>
      </c>
      <c r="L94" s="26">
        <v>0.0</v>
      </c>
    </row>
    <row r="95" ht="14.25" customHeight="1">
      <c r="A95" s="26" t="s">
        <v>893</v>
      </c>
      <c r="B95" s="26" t="s">
        <v>894</v>
      </c>
      <c r="C95" s="26" t="s">
        <v>895</v>
      </c>
      <c r="D95" s="26" t="s">
        <v>896</v>
      </c>
      <c r="E95" s="26" t="s">
        <v>991</v>
      </c>
      <c r="F95" s="26" t="s">
        <v>898</v>
      </c>
      <c r="G95" s="26">
        <v>0.0</v>
      </c>
      <c r="H95" s="26">
        <v>3006.0152</v>
      </c>
      <c r="I95" s="26">
        <v>1.004</v>
      </c>
      <c r="J95" s="26">
        <v>3018.0875</v>
      </c>
      <c r="K95" s="26">
        <v>-12.0724</v>
      </c>
      <c r="L95" s="26">
        <v>0.0</v>
      </c>
    </row>
    <row r="96" ht="14.25" customHeight="1">
      <c r="A96" s="26" t="s">
        <v>893</v>
      </c>
      <c r="B96" s="26" t="s">
        <v>894</v>
      </c>
      <c r="C96" s="26" t="s">
        <v>895</v>
      </c>
      <c r="D96" s="26" t="s">
        <v>896</v>
      </c>
      <c r="E96" s="26" t="s">
        <v>992</v>
      </c>
      <c r="F96" s="26" t="s">
        <v>898</v>
      </c>
      <c r="G96" s="26">
        <v>-0.05</v>
      </c>
      <c r="H96" s="26">
        <v>3006.317</v>
      </c>
      <c r="I96" s="26">
        <v>1.0039</v>
      </c>
      <c r="J96" s="26">
        <v>3018.0875</v>
      </c>
      <c r="K96" s="26">
        <v>-11.7705</v>
      </c>
      <c r="L96" s="26">
        <v>0.0</v>
      </c>
    </row>
    <row r="97" ht="14.25" customHeight="1">
      <c r="A97" s="26" t="s">
        <v>893</v>
      </c>
      <c r="B97" s="26" t="s">
        <v>894</v>
      </c>
      <c r="C97" s="26" t="s">
        <v>895</v>
      </c>
      <c r="D97" s="26" t="s">
        <v>896</v>
      </c>
      <c r="E97" s="26" t="s">
        <v>993</v>
      </c>
      <c r="F97" s="26" t="s">
        <v>898</v>
      </c>
      <c r="G97" s="26">
        <v>-0.03</v>
      </c>
      <c r="H97" s="26">
        <v>3029.2544</v>
      </c>
      <c r="I97" s="26">
        <v>0.9963</v>
      </c>
      <c r="J97" s="26">
        <v>3018.0875</v>
      </c>
      <c r="K97" s="26">
        <v>11.1669</v>
      </c>
      <c r="L97" s="26">
        <v>0.0</v>
      </c>
    </row>
    <row r="98" ht="14.25" customHeight="1">
      <c r="A98" s="26" t="s">
        <v>893</v>
      </c>
      <c r="B98" s="26" t="s">
        <v>894</v>
      </c>
      <c r="C98" s="26" t="s">
        <v>895</v>
      </c>
      <c r="D98" s="26" t="s">
        <v>896</v>
      </c>
      <c r="E98" s="26" t="s">
        <v>994</v>
      </c>
      <c r="F98" s="26" t="s">
        <v>898</v>
      </c>
      <c r="G98" s="26">
        <v>0.0</v>
      </c>
      <c r="H98" s="26">
        <v>3017.1821</v>
      </c>
      <c r="I98" s="26">
        <v>1.0003</v>
      </c>
      <c r="J98" s="26">
        <v>3018.0875</v>
      </c>
      <c r="K98" s="26">
        <v>-0.9054</v>
      </c>
      <c r="L98" s="26">
        <v>0.0</v>
      </c>
    </row>
    <row r="99" ht="14.25" customHeight="1">
      <c r="A99" s="26" t="s">
        <v>893</v>
      </c>
      <c r="B99" s="26" t="s">
        <v>894</v>
      </c>
      <c r="C99" s="26" t="s">
        <v>895</v>
      </c>
      <c r="D99" s="26" t="s">
        <v>896</v>
      </c>
      <c r="E99" s="26" t="s">
        <v>995</v>
      </c>
      <c r="F99" s="26" t="s">
        <v>898</v>
      </c>
      <c r="G99" s="26">
        <v>0.0</v>
      </c>
      <c r="H99" s="26">
        <v>3011.4477</v>
      </c>
      <c r="I99" s="26">
        <v>1.0022</v>
      </c>
      <c r="J99" s="26">
        <v>3018.0875</v>
      </c>
      <c r="K99" s="26">
        <v>-6.6398</v>
      </c>
      <c r="L99" s="26">
        <v>0.0</v>
      </c>
    </row>
    <row r="100" ht="14.25" customHeight="1">
      <c r="A100" s="26" t="s">
        <v>893</v>
      </c>
      <c r="B100" s="26" t="s">
        <v>894</v>
      </c>
      <c r="C100" s="26" t="s">
        <v>895</v>
      </c>
      <c r="D100" s="26" t="s">
        <v>896</v>
      </c>
      <c r="E100" s="26" t="s">
        <v>996</v>
      </c>
      <c r="F100" s="26" t="s">
        <v>898</v>
      </c>
      <c r="G100" s="26">
        <v>0.0</v>
      </c>
      <c r="H100" s="26">
        <v>3011.4477</v>
      </c>
      <c r="I100" s="26">
        <v>1.0022</v>
      </c>
      <c r="J100" s="26">
        <v>3018.0875</v>
      </c>
      <c r="K100" s="26">
        <v>-6.6398</v>
      </c>
      <c r="L100" s="26">
        <v>0.0</v>
      </c>
    </row>
    <row r="101" ht="14.25" customHeight="1">
      <c r="A101" s="26" t="s">
        <v>893</v>
      </c>
      <c r="B101" s="26" t="s">
        <v>894</v>
      </c>
      <c r="C101" s="26" t="s">
        <v>895</v>
      </c>
      <c r="D101" s="26" t="s">
        <v>896</v>
      </c>
      <c r="E101" s="26" t="s">
        <v>997</v>
      </c>
      <c r="F101" s="26" t="s">
        <v>898</v>
      </c>
      <c r="G101" s="26">
        <v>0.0</v>
      </c>
      <c r="H101" s="26">
        <v>3011.4477</v>
      </c>
      <c r="I101" s="26">
        <v>1.0022</v>
      </c>
      <c r="J101" s="26">
        <v>3018.0875</v>
      </c>
      <c r="K101" s="26">
        <v>-6.6398</v>
      </c>
      <c r="L101" s="26">
        <v>0.0</v>
      </c>
    </row>
    <row r="102" ht="14.25" customHeight="1">
      <c r="A102" s="26" t="s">
        <v>893</v>
      </c>
      <c r="B102" s="26" t="s">
        <v>894</v>
      </c>
      <c r="C102" s="26" t="s">
        <v>895</v>
      </c>
      <c r="D102" s="26" t="s">
        <v>896</v>
      </c>
      <c r="E102" s="26" t="s">
        <v>998</v>
      </c>
      <c r="F102" s="26" t="s">
        <v>898</v>
      </c>
      <c r="G102" s="26">
        <v>-16.62</v>
      </c>
      <c r="H102" s="26">
        <v>3009.0333</v>
      </c>
      <c r="I102" s="26">
        <v>1.003</v>
      </c>
      <c r="J102" s="26">
        <v>3018.0875</v>
      </c>
      <c r="K102" s="26">
        <v>-9.0543</v>
      </c>
      <c r="L102" s="26">
        <v>0.0</v>
      </c>
    </row>
    <row r="103" ht="14.25" customHeight="1">
      <c r="A103" s="26" t="s">
        <v>893</v>
      </c>
      <c r="B103" s="26" t="s">
        <v>894</v>
      </c>
      <c r="C103" s="26" t="s">
        <v>895</v>
      </c>
      <c r="D103" s="26" t="s">
        <v>896</v>
      </c>
      <c r="E103" s="26" t="s">
        <v>999</v>
      </c>
      <c r="F103" s="26" t="s">
        <v>898</v>
      </c>
      <c r="G103" s="26">
        <v>-28.7</v>
      </c>
      <c r="H103" s="26">
        <v>3009.0333</v>
      </c>
      <c r="I103" s="26">
        <v>1.003</v>
      </c>
      <c r="J103" s="26">
        <v>3018.0875</v>
      </c>
      <c r="K103" s="26">
        <v>-9.0543</v>
      </c>
      <c r="L103" s="26">
        <v>0.0</v>
      </c>
    </row>
    <row r="104" ht="14.25" customHeight="1">
      <c r="A104" s="26" t="s">
        <v>893</v>
      </c>
      <c r="B104" s="26" t="s">
        <v>894</v>
      </c>
      <c r="C104" s="26" t="s">
        <v>895</v>
      </c>
      <c r="D104" s="26" t="s">
        <v>896</v>
      </c>
      <c r="E104" s="26" t="s">
        <v>1000</v>
      </c>
      <c r="F104" s="26" t="s">
        <v>898</v>
      </c>
      <c r="G104" s="26">
        <v>0.0</v>
      </c>
      <c r="H104" s="26">
        <v>2983.3795</v>
      </c>
      <c r="I104" s="26">
        <v>1.0116</v>
      </c>
      <c r="J104" s="26">
        <v>3018.0875</v>
      </c>
      <c r="K104" s="26">
        <v>-34.708</v>
      </c>
      <c r="L104" s="26">
        <v>0.0</v>
      </c>
    </row>
    <row r="105" ht="14.25" customHeight="1">
      <c r="A105" s="26" t="s">
        <v>893</v>
      </c>
      <c r="B105" s="26" t="s">
        <v>894</v>
      </c>
      <c r="C105" s="26" t="s">
        <v>895</v>
      </c>
      <c r="D105" s="26" t="s">
        <v>896</v>
      </c>
      <c r="E105" s="26" t="s">
        <v>1001</v>
      </c>
      <c r="F105" s="26" t="s">
        <v>898</v>
      </c>
      <c r="G105" s="26">
        <v>-11.7</v>
      </c>
      <c r="H105" s="26">
        <v>2983.3795</v>
      </c>
      <c r="I105" s="26">
        <v>1.0116</v>
      </c>
      <c r="J105" s="26">
        <v>3018.0875</v>
      </c>
      <c r="K105" s="26">
        <v>-34.708</v>
      </c>
      <c r="L105" s="26">
        <v>0.0</v>
      </c>
    </row>
    <row r="106" ht="14.25" customHeight="1">
      <c r="A106" s="26" t="s">
        <v>893</v>
      </c>
      <c r="B106" s="26" t="s">
        <v>894</v>
      </c>
      <c r="C106" s="26" t="s">
        <v>895</v>
      </c>
      <c r="D106" s="26" t="s">
        <v>896</v>
      </c>
      <c r="E106" s="26" t="s">
        <v>1002</v>
      </c>
      <c r="F106" s="26" t="s">
        <v>898</v>
      </c>
      <c r="G106" s="26">
        <v>-0.36</v>
      </c>
      <c r="H106" s="26">
        <v>2983.3795</v>
      </c>
      <c r="I106" s="26">
        <v>1.0116</v>
      </c>
      <c r="J106" s="26">
        <v>3018.0875</v>
      </c>
      <c r="K106" s="26">
        <v>-34.708</v>
      </c>
      <c r="L106" s="26">
        <v>0.0</v>
      </c>
    </row>
    <row r="107" ht="14.25" customHeight="1">
      <c r="A107" s="26" t="s">
        <v>893</v>
      </c>
      <c r="B107" s="26" t="s">
        <v>894</v>
      </c>
      <c r="C107" s="26" t="s">
        <v>895</v>
      </c>
      <c r="D107" s="26" t="s">
        <v>896</v>
      </c>
      <c r="E107" s="26" t="s">
        <v>1003</v>
      </c>
      <c r="F107" s="26" t="s">
        <v>898</v>
      </c>
      <c r="G107" s="26">
        <v>-6.29</v>
      </c>
      <c r="H107" s="26">
        <v>2920.3015</v>
      </c>
      <c r="I107" s="26">
        <v>1.0335</v>
      </c>
      <c r="J107" s="26">
        <v>3018.0875</v>
      </c>
      <c r="K107" s="26">
        <v>-97.786</v>
      </c>
      <c r="L107" s="26">
        <v>0.0</v>
      </c>
    </row>
    <row r="108" ht="14.25" customHeight="1">
      <c r="A108" s="26" t="s">
        <v>893</v>
      </c>
      <c r="B108" s="26" t="s">
        <v>894</v>
      </c>
      <c r="C108" s="26" t="s">
        <v>895</v>
      </c>
      <c r="D108" s="26" t="s">
        <v>896</v>
      </c>
      <c r="E108" s="26" t="s">
        <v>1004</v>
      </c>
      <c r="F108" s="26" t="s">
        <v>898</v>
      </c>
      <c r="G108" s="26">
        <v>-6.85</v>
      </c>
      <c r="H108" s="26">
        <v>2916.9816</v>
      </c>
      <c r="I108" s="26">
        <v>1.0347</v>
      </c>
      <c r="J108" s="26">
        <v>3018.0875</v>
      </c>
      <c r="K108" s="26">
        <v>-101.1059</v>
      </c>
      <c r="L108" s="26">
        <v>0.0</v>
      </c>
    </row>
    <row r="109" ht="14.25" customHeight="1">
      <c r="A109" s="26" t="s">
        <v>893</v>
      </c>
      <c r="B109" s="26" t="s">
        <v>894</v>
      </c>
      <c r="C109" s="26" t="s">
        <v>895</v>
      </c>
      <c r="D109" s="26" t="s">
        <v>896</v>
      </c>
      <c r="E109" s="26" t="s">
        <v>1005</v>
      </c>
      <c r="F109" s="26" t="s">
        <v>898</v>
      </c>
      <c r="G109" s="26">
        <v>-0.37</v>
      </c>
      <c r="H109" s="26">
        <v>2987.9066</v>
      </c>
      <c r="I109" s="26">
        <v>1.0101</v>
      </c>
      <c r="J109" s="26">
        <v>3018.0875</v>
      </c>
      <c r="K109" s="26">
        <v>-30.1809</v>
      </c>
      <c r="L109" s="26">
        <v>0.0</v>
      </c>
    </row>
    <row r="110" ht="14.25" customHeight="1">
      <c r="A110" s="26" t="s">
        <v>893</v>
      </c>
      <c r="B110" s="26" t="s">
        <v>894</v>
      </c>
      <c r="C110" s="26" t="s">
        <v>895</v>
      </c>
      <c r="D110" s="26" t="s">
        <v>896</v>
      </c>
      <c r="E110" s="26" t="s">
        <v>1006</v>
      </c>
      <c r="F110" s="26" t="s">
        <v>898</v>
      </c>
      <c r="G110" s="26">
        <v>0.0</v>
      </c>
      <c r="H110" s="26">
        <v>2916.9816</v>
      </c>
      <c r="I110" s="26">
        <v>1.0347</v>
      </c>
      <c r="J110" s="26">
        <v>3018.0875</v>
      </c>
      <c r="K110" s="26">
        <v>-101.1059</v>
      </c>
      <c r="L110" s="26">
        <v>0.0</v>
      </c>
    </row>
    <row r="111" ht="14.25" customHeight="1">
      <c r="A111" s="26" t="s">
        <v>893</v>
      </c>
      <c r="B111" s="26" t="s">
        <v>894</v>
      </c>
      <c r="C111" s="26" t="s">
        <v>895</v>
      </c>
      <c r="D111" s="26" t="s">
        <v>896</v>
      </c>
      <c r="E111" s="26" t="s">
        <v>1007</v>
      </c>
      <c r="F111" s="26" t="s">
        <v>898</v>
      </c>
      <c r="G111" s="26">
        <v>0.0</v>
      </c>
      <c r="H111" s="26">
        <v>3036.7997</v>
      </c>
      <c r="I111" s="26">
        <v>0.9939</v>
      </c>
      <c r="J111" s="26">
        <v>3018.0875</v>
      </c>
      <c r="K111" s="26">
        <v>18.7121</v>
      </c>
      <c r="L111" s="26">
        <v>0.0</v>
      </c>
    </row>
    <row r="112" ht="14.25" customHeight="1">
      <c r="A112" s="26" t="s">
        <v>893</v>
      </c>
      <c r="B112" s="26" t="s">
        <v>894</v>
      </c>
      <c r="C112" s="26" t="s">
        <v>895</v>
      </c>
      <c r="D112" s="26" t="s">
        <v>896</v>
      </c>
      <c r="E112" s="26" t="s">
        <v>1008</v>
      </c>
      <c r="F112" s="26" t="s">
        <v>898</v>
      </c>
      <c r="G112" s="26">
        <v>-19.43</v>
      </c>
      <c r="H112" s="26">
        <v>3050.9847</v>
      </c>
      <c r="I112" s="26">
        <v>0.9892</v>
      </c>
      <c r="J112" s="26">
        <v>3018.0875</v>
      </c>
      <c r="K112" s="26">
        <v>32.8972</v>
      </c>
      <c r="L112" s="26">
        <v>0.0</v>
      </c>
    </row>
    <row r="113" ht="14.25" customHeight="1">
      <c r="A113" s="26" t="s">
        <v>893</v>
      </c>
      <c r="B113" s="26" t="s">
        <v>894</v>
      </c>
      <c r="C113" s="26" t="s">
        <v>895</v>
      </c>
      <c r="D113" s="26" t="s">
        <v>896</v>
      </c>
      <c r="E113" s="26" t="s">
        <v>1009</v>
      </c>
      <c r="F113" s="26" t="s">
        <v>898</v>
      </c>
      <c r="G113" s="26">
        <v>0.0</v>
      </c>
      <c r="H113" s="26">
        <v>3050.9847</v>
      </c>
      <c r="I113" s="26">
        <v>0.9892</v>
      </c>
      <c r="J113" s="26">
        <v>3018.0875</v>
      </c>
      <c r="K113" s="26">
        <v>32.8972</v>
      </c>
      <c r="L113" s="26">
        <v>0.0</v>
      </c>
    </row>
    <row r="114" ht="14.25" customHeight="1">
      <c r="A114" s="26" t="s">
        <v>893</v>
      </c>
      <c r="B114" s="26" t="s">
        <v>894</v>
      </c>
      <c r="C114" s="26" t="s">
        <v>895</v>
      </c>
      <c r="D114" s="26" t="s">
        <v>896</v>
      </c>
      <c r="E114" s="26" t="s">
        <v>1010</v>
      </c>
      <c r="F114" s="26" t="s">
        <v>898</v>
      </c>
      <c r="G114" s="26">
        <v>-11.21</v>
      </c>
      <c r="H114" s="26">
        <v>3022.6147</v>
      </c>
      <c r="I114" s="26">
        <v>0.9985</v>
      </c>
      <c r="J114" s="26">
        <v>3018.0875</v>
      </c>
      <c r="K114" s="26">
        <v>4.5271</v>
      </c>
      <c r="L114" s="26">
        <v>0.0</v>
      </c>
    </row>
    <row r="115" ht="14.25" customHeight="1">
      <c r="A115" s="26" t="s">
        <v>893</v>
      </c>
      <c r="B115" s="26" t="s">
        <v>894</v>
      </c>
      <c r="C115" s="26" t="s">
        <v>895</v>
      </c>
      <c r="D115" s="26" t="s">
        <v>896</v>
      </c>
      <c r="E115" s="26" t="s">
        <v>1011</v>
      </c>
      <c r="F115" s="26" t="s">
        <v>898</v>
      </c>
      <c r="G115" s="26">
        <v>-8.16</v>
      </c>
      <c r="H115" s="26">
        <v>3022.6147</v>
      </c>
      <c r="I115" s="26">
        <v>0.9985</v>
      </c>
      <c r="J115" s="26">
        <v>3018.0875</v>
      </c>
      <c r="K115" s="26">
        <v>4.5271</v>
      </c>
      <c r="L115" s="26">
        <v>0.0</v>
      </c>
    </row>
    <row r="116" ht="14.25" customHeight="1">
      <c r="A116" s="26" t="s">
        <v>893</v>
      </c>
      <c r="B116" s="26" t="s">
        <v>894</v>
      </c>
      <c r="C116" s="26" t="s">
        <v>895</v>
      </c>
      <c r="D116" s="26" t="s">
        <v>896</v>
      </c>
      <c r="E116" s="26" t="s">
        <v>1012</v>
      </c>
      <c r="F116" s="26" t="s">
        <v>898</v>
      </c>
      <c r="G116" s="26">
        <v>-62.93</v>
      </c>
      <c r="H116" s="26">
        <v>3022.6147</v>
      </c>
      <c r="I116" s="26">
        <v>0.9985</v>
      </c>
      <c r="J116" s="26">
        <v>3018.0875</v>
      </c>
      <c r="K116" s="26">
        <v>4.5271</v>
      </c>
      <c r="L116" s="26">
        <v>0.0</v>
      </c>
    </row>
    <row r="117" ht="14.25" customHeight="1">
      <c r="A117" s="26" t="s">
        <v>893</v>
      </c>
      <c r="B117" s="26" t="s">
        <v>894</v>
      </c>
      <c r="C117" s="26" t="s">
        <v>895</v>
      </c>
      <c r="D117" s="26" t="s">
        <v>896</v>
      </c>
      <c r="E117" s="26" t="s">
        <v>1013</v>
      </c>
      <c r="F117" s="26" t="s">
        <v>898</v>
      </c>
      <c r="G117" s="26">
        <v>0.0</v>
      </c>
      <c r="H117" s="26">
        <v>3020.2002</v>
      </c>
      <c r="I117" s="26">
        <v>0.9993</v>
      </c>
      <c r="J117" s="26">
        <v>3018.0875</v>
      </c>
      <c r="K117" s="26">
        <v>2.1127</v>
      </c>
      <c r="L117" s="26">
        <v>0.0</v>
      </c>
    </row>
    <row r="118" ht="14.25" customHeight="1">
      <c r="A118" s="26" t="s">
        <v>893</v>
      </c>
      <c r="B118" s="26" t="s">
        <v>894</v>
      </c>
      <c r="C118" s="26" t="s">
        <v>895</v>
      </c>
      <c r="D118" s="26" t="s">
        <v>896</v>
      </c>
      <c r="E118" s="26" t="s">
        <v>1014</v>
      </c>
      <c r="F118" s="26" t="s">
        <v>898</v>
      </c>
      <c r="G118" s="26">
        <v>0.0</v>
      </c>
      <c r="H118" s="26">
        <v>3050.9847</v>
      </c>
      <c r="I118" s="26">
        <v>0.9892</v>
      </c>
      <c r="J118" s="26">
        <v>3018.0875</v>
      </c>
      <c r="K118" s="26">
        <v>32.8972</v>
      </c>
      <c r="L118" s="26">
        <v>0.0</v>
      </c>
    </row>
    <row r="119" ht="14.25" customHeight="1">
      <c r="A119" s="26" t="s">
        <v>893</v>
      </c>
      <c r="B119" s="26" t="s">
        <v>894</v>
      </c>
      <c r="C119" s="26" t="s">
        <v>895</v>
      </c>
      <c r="D119" s="26" t="s">
        <v>896</v>
      </c>
      <c r="E119" s="26" t="s">
        <v>1015</v>
      </c>
      <c r="F119" s="26" t="s">
        <v>898</v>
      </c>
      <c r="G119" s="26">
        <v>-20.68</v>
      </c>
      <c r="H119" s="26">
        <v>3050.9847</v>
      </c>
      <c r="I119" s="26">
        <v>0.9892</v>
      </c>
      <c r="J119" s="26">
        <v>3018.0875</v>
      </c>
      <c r="K119" s="26">
        <v>32.8972</v>
      </c>
      <c r="L119" s="26">
        <v>0.0</v>
      </c>
    </row>
    <row r="120" ht="14.25" customHeight="1">
      <c r="A120" s="26" t="s">
        <v>893</v>
      </c>
      <c r="B120" s="26" t="s">
        <v>894</v>
      </c>
      <c r="C120" s="26" t="s">
        <v>895</v>
      </c>
      <c r="D120" s="26" t="s">
        <v>896</v>
      </c>
      <c r="E120" s="26" t="s">
        <v>1016</v>
      </c>
      <c r="F120" s="26" t="s">
        <v>898</v>
      </c>
      <c r="G120" s="26">
        <v>-3.79</v>
      </c>
      <c r="H120" s="26">
        <v>3050.9847</v>
      </c>
      <c r="I120" s="26">
        <v>0.9892</v>
      </c>
      <c r="J120" s="26">
        <v>3018.0875</v>
      </c>
      <c r="K120" s="26">
        <v>32.8972</v>
      </c>
      <c r="L120" s="26">
        <v>0.0</v>
      </c>
    </row>
    <row r="121" ht="14.25" customHeight="1">
      <c r="A121" s="26" t="s">
        <v>893</v>
      </c>
      <c r="B121" s="26" t="s">
        <v>894</v>
      </c>
      <c r="C121" s="26" t="s">
        <v>895</v>
      </c>
      <c r="D121" s="26" t="s">
        <v>896</v>
      </c>
      <c r="E121" s="26" t="s">
        <v>1017</v>
      </c>
      <c r="F121" s="26" t="s">
        <v>898</v>
      </c>
      <c r="G121" s="26">
        <v>0.0</v>
      </c>
      <c r="H121" s="26">
        <v>3050.9847</v>
      </c>
      <c r="I121" s="26">
        <v>0.9892</v>
      </c>
      <c r="J121" s="26">
        <v>3018.0875</v>
      </c>
      <c r="K121" s="26">
        <v>32.8972</v>
      </c>
      <c r="L121" s="26">
        <v>0.0</v>
      </c>
    </row>
    <row r="122" ht="14.25" customHeight="1">
      <c r="A122" s="26" t="s">
        <v>893</v>
      </c>
      <c r="B122" s="26" t="s">
        <v>894</v>
      </c>
      <c r="C122" s="26" t="s">
        <v>895</v>
      </c>
      <c r="D122" s="26" t="s">
        <v>896</v>
      </c>
      <c r="E122" s="26" t="s">
        <v>1018</v>
      </c>
      <c r="F122" s="26" t="s">
        <v>898</v>
      </c>
      <c r="G122" s="26">
        <v>-24.08</v>
      </c>
      <c r="H122" s="26">
        <v>3143.64</v>
      </c>
      <c r="I122" s="26">
        <v>0.9601</v>
      </c>
      <c r="J122" s="26">
        <v>3018.0875</v>
      </c>
      <c r="K122" s="26">
        <v>125.5524</v>
      </c>
      <c r="L122" s="26">
        <v>0.0</v>
      </c>
    </row>
    <row r="123" ht="14.25" customHeight="1">
      <c r="A123" s="26" t="s">
        <v>893</v>
      </c>
      <c r="B123" s="26" t="s">
        <v>894</v>
      </c>
      <c r="C123" s="26" t="s">
        <v>895</v>
      </c>
      <c r="D123" s="26" t="s">
        <v>896</v>
      </c>
      <c r="E123" s="26" t="s">
        <v>1019</v>
      </c>
      <c r="F123" s="26" t="s">
        <v>898</v>
      </c>
      <c r="G123" s="26">
        <v>-0.01</v>
      </c>
      <c r="H123" s="26">
        <v>3033.178</v>
      </c>
      <c r="I123" s="26">
        <v>0.995</v>
      </c>
      <c r="J123" s="26">
        <v>3018.0875</v>
      </c>
      <c r="K123" s="26">
        <v>15.0904</v>
      </c>
      <c r="L123" s="26">
        <v>0.0</v>
      </c>
    </row>
    <row r="124" ht="14.25" customHeight="1">
      <c r="A124" s="26" t="s">
        <v>893</v>
      </c>
      <c r="B124" s="26" t="s">
        <v>894</v>
      </c>
      <c r="C124" s="26" t="s">
        <v>895</v>
      </c>
      <c r="D124" s="26" t="s">
        <v>896</v>
      </c>
      <c r="E124" s="26" t="s">
        <v>1020</v>
      </c>
      <c r="F124" s="26" t="s">
        <v>898</v>
      </c>
      <c r="G124" s="26">
        <v>0.0</v>
      </c>
      <c r="H124" s="26">
        <v>3018.0875</v>
      </c>
      <c r="I124" s="26">
        <v>1.0</v>
      </c>
      <c r="J124" s="26">
        <v>3018.0875</v>
      </c>
      <c r="K124" s="26">
        <v>0.0</v>
      </c>
      <c r="L124" s="26">
        <v>0.0</v>
      </c>
    </row>
    <row r="125" ht="14.25" customHeight="1">
      <c r="A125" s="26" t="s">
        <v>893</v>
      </c>
      <c r="B125" s="26" t="s">
        <v>894</v>
      </c>
      <c r="C125" s="26" t="s">
        <v>895</v>
      </c>
      <c r="D125" s="26" t="s">
        <v>896</v>
      </c>
      <c r="E125" s="26" t="s">
        <v>1021</v>
      </c>
      <c r="F125" s="26" t="s">
        <v>898</v>
      </c>
      <c r="G125" s="26">
        <v>0.0</v>
      </c>
      <c r="H125" s="26">
        <v>3033.178</v>
      </c>
      <c r="I125" s="26">
        <v>0.995</v>
      </c>
      <c r="J125" s="26">
        <v>3018.0875</v>
      </c>
      <c r="K125" s="26">
        <v>15.0904</v>
      </c>
      <c r="L125" s="26">
        <v>0.0</v>
      </c>
    </row>
    <row r="126" ht="14.25" customHeight="1">
      <c r="A126" s="26" t="s">
        <v>893</v>
      </c>
      <c r="B126" s="26" t="s">
        <v>894</v>
      </c>
      <c r="C126" s="26" t="s">
        <v>895</v>
      </c>
      <c r="D126" s="26" t="s">
        <v>896</v>
      </c>
      <c r="E126" s="26" t="s">
        <v>1022</v>
      </c>
      <c r="F126" s="26" t="s">
        <v>898</v>
      </c>
      <c r="G126" s="26">
        <v>-7.33</v>
      </c>
      <c r="H126" s="26">
        <v>3144.8472</v>
      </c>
      <c r="I126" s="26">
        <v>0.9597</v>
      </c>
      <c r="J126" s="26">
        <v>3018.0875</v>
      </c>
      <c r="K126" s="26">
        <v>126.7597</v>
      </c>
      <c r="L126" s="26">
        <v>0.0</v>
      </c>
    </row>
    <row r="127" ht="14.25" customHeight="1">
      <c r="A127" s="26" t="s">
        <v>893</v>
      </c>
      <c r="B127" s="26" t="s">
        <v>894</v>
      </c>
      <c r="C127" s="26" t="s">
        <v>895</v>
      </c>
      <c r="D127" s="26" t="s">
        <v>896</v>
      </c>
      <c r="E127" s="26" t="s">
        <v>1023</v>
      </c>
      <c r="F127" s="26" t="s">
        <v>898</v>
      </c>
      <c r="G127" s="26">
        <v>-4.31</v>
      </c>
      <c r="H127" s="26">
        <v>3144.8472</v>
      </c>
      <c r="I127" s="26">
        <v>0.9597</v>
      </c>
      <c r="J127" s="26">
        <v>3018.0875</v>
      </c>
      <c r="K127" s="26">
        <v>126.7597</v>
      </c>
      <c r="L127" s="26">
        <v>0.0</v>
      </c>
    </row>
    <row r="128" ht="14.25" customHeight="1">
      <c r="A128" s="26" t="s">
        <v>893</v>
      </c>
      <c r="B128" s="26" t="s">
        <v>894</v>
      </c>
      <c r="C128" s="26" t="s">
        <v>895</v>
      </c>
      <c r="D128" s="26" t="s">
        <v>896</v>
      </c>
      <c r="E128" s="26" t="s">
        <v>1024</v>
      </c>
      <c r="F128" s="26" t="s">
        <v>898</v>
      </c>
      <c r="G128" s="26">
        <v>-16.33</v>
      </c>
      <c r="H128" s="26">
        <v>3020.8038</v>
      </c>
      <c r="I128" s="26">
        <v>0.9991</v>
      </c>
      <c r="J128" s="26">
        <v>3018.0875</v>
      </c>
      <c r="K128" s="26">
        <v>2.7163</v>
      </c>
      <c r="L128" s="26">
        <v>0.0</v>
      </c>
    </row>
    <row r="129" ht="14.25" customHeight="1">
      <c r="A129" s="26" t="s">
        <v>893</v>
      </c>
      <c r="B129" s="26" t="s">
        <v>894</v>
      </c>
      <c r="C129" s="26" t="s">
        <v>895</v>
      </c>
      <c r="D129" s="26" t="s">
        <v>896</v>
      </c>
      <c r="E129" s="26" t="s">
        <v>1025</v>
      </c>
      <c r="F129" s="26" t="s">
        <v>898</v>
      </c>
      <c r="G129" s="26">
        <v>0.0</v>
      </c>
      <c r="H129" s="26">
        <v>3081.4674</v>
      </c>
      <c r="I129" s="26">
        <v>0.9794</v>
      </c>
      <c r="J129" s="26">
        <v>3018.0875</v>
      </c>
      <c r="K129" s="26">
        <v>63.3798</v>
      </c>
      <c r="L129" s="26">
        <v>0.0</v>
      </c>
    </row>
    <row r="130" ht="14.25" customHeight="1">
      <c r="A130" s="26" t="s">
        <v>893</v>
      </c>
      <c r="B130" s="26" t="s">
        <v>894</v>
      </c>
      <c r="C130" s="26" t="s">
        <v>895</v>
      </c>
      <c r="D130" s="26" t="s">
        <v>896</v>
      </c>
      <c r="E130" s="26" t="s">
        <v>1026</v>
      </c>
      <c r="F130" s="26" t="s">
        <v>898</v>
      </c>
      <c r="G130" s="26">
        <v>-9.42</v>
      </c>
      <c r="H130" s="26">
        <v>3081.4674</v>
      </c>
      <c r="I130" s="26">
        <v>0.9794</v>
      </c>
      <c r="J130" s="26">
        <v>3018.0875</v>
      </c>
      <c r="K130" s="26">
        <v>63.3798</v>
      </c>
      <c r="L130" s="26">
        <v>0.0</v>
      </c>
    </row>
    <row r="131" ht="14.25" customHeight="1">
      <c r="A131" s="26" t="s">
        <v>893</v>
      </c>
      <c r="B131" s="26" t="s">
        <v>894</v>
      </c>
      <c r="C131" s="26" t="s">
        <v>895</v>
      </c>
      <c r="D131" s="26" t="s">
        <v>896</v>
      </c>
      <c r="E131" s="26" t="s">
        <v>1027</v>
      </c>
      <c r="F131" s="26" t="s">
        <v>898</v>
      </c>
      <c r="G131" s="26">
        <v>-7.97</v>
      </c>
      <c r="H131" s="26">
        <v>3081.4674</v>
      </c>
      <c r="I131" s="26">
        <v>0.9794</v>
      </c>
      <c r="J131" s="26">
        <v>3018.0875</v>
      </c>
      <c r="K131" s="26">
        <v>63.3798</v>
      </c>
      <c r="L131" s="26">
        <v>0.0</v>
      </c>
    </row>
    <row r="132" ht="14.25" customHeight="1">
      <c r="A132" s="26" t="s">
        <v>893</v>
      </c>
      <c r="B132" s="26" t="s">
        <v>894</v>
      </c>
      <c r="C132" s="26" t="s">
        <v>895</v>
      </c>
      <c r="D132" s="26" t="s">
        <v>896</v>
      </c>
      <c r="E132" s="26" t="s">
        <v>1028</v>
      </c>
      <c r="F132" s="26" t="s">
        <v>898</v>
      </c>
      <c r="G132" s="26">
        <v>-30.02</v>
      </c>
      <c r="H132" s="26">
        <v>3081.4674</v>
      </c>
      <c r="I132" s="26">
        <v>0.9794</v>
      </c>
      <c r="J132" s="26">
        <v>3018.0875</v>
      </c>
      <c r="K132" s="26">
        <v>63.3798</v>
      </c>
      <c r="L132" s="26">
        <v>0.0</v>
      </c>
    </row>
    <row r="133" ht="14.25" customHeight="1">
      <c r="A133" s="26" t="s">
        <v>893</v>
      </c>
      <c r="B133" s="26" t="s">
        <v>894</v>
      </c>
      <c r="C133" s="26" t="s">
        <v>895</v>
      </c>
      <c r="D133" s="26" t="s">
        <v>896</v>
      </c>
      <c r="E133" s="26" t="s">
        <v>1029</v>
      </c>
      <c r="F133" s="26" t="s">
        <v>898</v>
      </c>
      <c r="G133" s="26">
        <v>-7.15</v>
      </c>
      <c r="H133" s="26">
        <v>3081.4674</v>
      </c>
      <c r="I133" s="26">
        <v>0.9794</v>
      </c>
      <c r="J133" s="26">
        <v>3018.0875</v>
      </c>
      <c r="K133" s="26">
        <v>63.3798</v>
      </c>
      <c r="L133" s="26">
        <v>0.0</v>
      </c>
    </row>
    <row r="134" ht="14.25" customHeight="1">
      <c r="A134" s="26" t="s">
        <v>893</v>
      </c>
      <c r="B134" s="26" t="s">
        <v>894</v>
      </c>
      <c r="C134" s="26" t="s">
        <v>895</v>
      </c>
      <c r="D134" s="26" t="s">
        <v>896</v>
      </c>
      <c r="E134" s="26" t="s">
        <v>1030</v>
      </c>
      <c r="F134" s="26" t="s">
        <v>898</v>
      </c>
      <c r="G134" s="26">
        <v>0.0</v>
      </c>
      <c r="H134" s="26">
        <v>3081.4674</v>
      </c>
      <c r="I134" s="26">
        <v>0.9794</v>
      </c>
      <c r="J134" s="26">
        <v>3018.0875</v>
      </c>
      <c r="K134" s="26">
        <v>63.3798</v>
      </c>
      <c r="L134" s="26">
        <v>0.0</v>
      </c>
    </row>
    <row r="135" ht="14.25" customHeight="1">
      <c r="A135" s="26" t="s">
        <v>893</v>
      </c>
      <c r="B135" s="26" t="s">
        <v>894</v>
      </c>
      <c r="C135" s="26" t="s">
        <v>895</v>
      </c>
      <c r="D135" s="26" t="s">
        <v>896</v>
      </c>
      <c r="E135" s="26" t="s">
        <v>1031</v>
      </c>
      <c r="F135" s="26" t="s">
        <v>898</v>
      </c>
      <c r="G135" s="26">
        <v>0.0</v>
      </c>
      <c r="H135" s="26">
        <v>3081.4674</v>
      </c>
      <c r="I135" s="26">
        <v>0.9794</v>
      </c>
      <c r="J135" s="26">
        <v>3018.0875</v>
      </c>
      <c r="K135" s="26">
        <v>63.3798</v>
      </c>
      <c r="L135" s="26">
        <v>0.0</v>
      </c>
    </row>
    <row r="136" ht="14.25" customHeight="1">
      <c r="A136" s="26" t="s">
        <v>893</v>
      </c>
      <c r="B136" s="26" t="s">
        <v>894</v>
      </c>
      <c r="C136" s="26" t="s">
        <v>895</v>
      </c>
      <c r="D136" s="26" t="s">
        <v>896</v>
      </c>
      <c r="E136" s="26" t="s">
        <v>1032</v>
      </c>
      <c r="F136" s="26" t="s">
        <v>898</v>
      </c>
      <c r="G136" s="26">
        <v>0.0</v>
      </c>
      <c r="H136" s="26">
        <v>3048.5702</v>
      </c>
      <c r="I136" s="26">
        <v>0.99</v>
      </c>
      <c r="J136" s="26">
        <v>3018.0875</v>
      </c>
      <c r="K136" s="26">
        <v>30.4827</v>
      </c>
      <c r="L136" s="26">
        <v>0.0</v>
      </c>
    </row>
    <row r="137" ht="14.25" customHeight="1">
      <c r="A137" s="26" t="s">
        <v>893</v>
      </c>
      <c r="B137" s="26" t="s">
        <v>894</v>
      </c>
      <c r="C137" s="26" t="s">
        <v>895</v>
      </c>
      <c r="D137" s="26" t="s">
        <v>896</v>
      </c>
      <c r="E137" s="26" t="s">
        <v>1033</v>
      </c>
      <c r="F137" s="26" t="s">
        <v>898</v>
      </c>
      <c r="G137" s="26">
        <v>-33.43</v>
      </c>
      <c r="H137" s="26">
        <v>3191.0239</v>
      </c>
      <c r="I137" s="26">
        <v>0.9458</v>
      </c>
      <c r="J137" s="26">
        <v>3018.0875</v>
      </c>
      <c r="K137" s="26">
        <v>172.9364</v>
      </c>
      <c r="L137" s="26">
        <v>0.0</v>
      </c>
    </row>
    <row r="138" ht="14.25" customHeight="1">
      <c r="A138" s="26" t="s">
        <v>893</v>
      </c>
      <c r="B138" s="26" t="s">
        <v>894</v>
      </c>
      <c r="C138" s="26" t="s">
        <v>895</v>
      </c>
      <c r="D138" s="26" t="s">
        <v>896</v>
      </c>
      <c r="E138" s="26" t="s">
        <v>1034</v>
      </c>
      <c r="F138" s="26" t="s">
        <v>898</v>
      </c>
      <c r="G138" s="26">
        <v>-38.13</v>
      </c>
      <c r="H138" s="26">
        <v>3191.0239</v>
      </c>
      <c r="I138" s="26">
        <v>0.9458</v>
      </c>
      <c r="J138" s="26">
        <v>3018.0875</v>
      </c>
      <c r="K138" s="26">
        <v>172.9364</v>
      </c>
      <c r="L138" s="26">
        <v>0.0</v>
      </c>
    </row>
    <row r="139" ht="14.25" customHeight="1">
      <c r="A139" s="26" t="s">
        <v>893</v>
      </c>
      <c r="B139" s="26" t="s">
        <v>894</v>
      </c>
      <c r="C139" s="26" t="s">
        <v>895</v>
      </c>
      <c r="D139" s="26" t="s">
        <v>896</v>
      </c>
      <c r="E139" s="26" t="s">
        <v>1035</v>
      </c>
      <c r="F139" s="26" t="s">
        <v>898</v>
      </c>
      <c r="G139" s="26">
        <v>-4.04</v>
      </c>
      <c r="H139" s="26">
        <v>3191.0239</v>
      </c>
      <c r="I139" s="26">
        <v>0.9458</v>
      </c>
      <c r="J139" s="26">
        <v>3018.0875</v>
      </c>
      <c r="K139" s="26">
        <v>172.9364</v>
      </c>
      <c r="L139" s="26">
        <v>0.0</v>
      </c>
    </row>
    <row r="140" ht="14.25" customHeight="1">
      <c r="A140" s="26" t="s">
        <v>893</v>
      </c>
      <c r="B140" s="26" t="s">
        <v>894</v>
      </c>
      <c r="C140" s="26" t="s">
        <v>895</v>
      </c>
      <c r="D140" s="26" t="s">
        <v>896</v>
      </c>
      <c r="E140" s="26" t="s">
        <v>1036</v>
      </c>
      <c r="F140" s="26" t="s">
        <v>898</v>
      </c>
      <c r="G140" s="26">
        <v>0.0</v>
      </c>
      <c r="H140" s="26">
        <v>3191.3257</v>
      </c>
      <c r="I140" s="26">
        <v>0.9457</v>
      </c>
      <c r="J140" s="26">
        <v>3018.0875</v>
      </c>
      <c r="K140" s="26">
        <v>173.2382</v>
      </c>
      <c r="L140" s="26">
        <v>0.0</v>
      </c>
    </row>
    <row r="141" ht="14.25" customHeight="1">
      <c r="A141" s="26" t="s">
        <v>893</v>
      </c>
      <c r="B141" s="26" t="s">
        <v>894</v>
      </c>
      <c r="C141" s="26" t="s">
        <v>895</v>
      </c>
      <c r="D141" s="26" t="s">
        <v>896</v>
      </c>
      <c r="E141" s="26" t="s">
        <v>1037</v>
      </c>
      <c r="F141" s="26" t="s">
        <v>898</v>
      </c>
      <c r="G141" s="26">
        <v>-6.89</v>
      </c>
      <c r="H141" s="26">
        <v>3020.502</v>
      </c>
      <c r="I141" s="26">
        <v>0.9992</v>
      </c>
      <c r="J141" s="26">
        <v>3018.0875</v>
      </c>
      <c r="K141" s="26">
        <v>2.4145</v>
      </c>
      <c r="L141" s="26">
        <v>0.0</v>
      </c>
    </row>
    <row r="142" ht="14.25" customHeight="1">
      <c r="A142" s="26" t="s">
        <v>893</v>
      </c>
      <c r="B142" s="26" t="s">
        <v>894</v>
      </c>
      <c r="C142" s="26" t="s">
        <v>895</v>
      </c>
      <c r="D142" s="26" t="s">
        <v>896</v>
      </c>
      <c r="E142" s="26" t="s">
        <v>1038</v>
      </c>
      <c r="F142" s="26" t="s">
        <v>898</v>
      </c>
      <c r="G142" s="26">
        <v>0.0</v>
      </c>
      <c r="H142" s="26">
        <v>3143.64</v>
      </c>
      <c r="I142" s="26">
        <v>0.9601</v>
      </c>
      <c r="J142" s="26">
        <v>3018.0875</v>
      </c>
      <c r="K142" s="26">
        <v>125.5524</v>
      </c>
      <c r="L142" s="26">
        <v>0.0</v>
      </c>
    </row>
    <row r="143" ht="14.25" customHeight="1">
      <c r="A143" s="26" t="s">
        <v>893</v>
      </c>
      <c r="B143" s="26" t="s">
        <v>894</v>
      </c>
      <c r="C143" s="26" t="s">
        <v>895</v>
      </c>
      <c r="D143" s="26" t="s">
        <v>896</v>
      </c>
      <c r="E143" s="26" t="s">
        <v>1039</v>
      </c>
      <c r="F143" s="26" t="s">
        <v>898</v>
      </c>
      <c r="G143" s="26">
        <v>-53.57</v>
      </c>
      <c r="H143" s="26">
        <v>3143.0363</v>
      </c>
      <c r="I143" s="26">
        <v>0.9602</v>
      </c>
      <c r="J143" s="26">
        <v>3018.0875</v>
      </c>
      <c r="K143" s="26">
        <v>124.9488</v>
      </c>
      <c r="L143" s="26">
        <v>0.0</v>
      </c>
    </row>
    <row r="144" ht="14.25" customHeight="1">
      <c r="A144" s="26" t="s">
        <v>893</v>
      </c>
      <c r="B144" s="26" t="s">
        <v>894</v>
      </c>
      <c r="C144" s="26" t="s">
        <v>895</v>
      </c>
      <c r="D144" s="26" t="s">
        <v>896</v>
      </c>
      <c r="E144" s="26" t="s">
        <v>1040</v>
      </c>
      <c r="F144" s="26" t="s">
        <v>898</v>
      </c>
      <c r="G144" s="26">
        <v>0.0</v>
      </c>
      <c r="H144" s="26">
        <v>3143.0363</v>
      </c>
      <c r="I144" s="26">
        <v>0.9602</v>
      </c>
      <c r="J144" s="26">
        <v>3018.0875</v>
      </c>
      <c r="K144" s="26">
        <v>124.9488</v>
      </c>
      <c r="L144" s="26">
        <v>0.0</v>
      </c>
    </row>
    <row r="145" ht="14.25" customHeight="1">
      <c r="A145" s="26" t="s">
        <v>893</v>
      </c>
      <c r="B145" s="26" t="s">
        <v>894</v>
      </c>
      <c r="C145" s="26" t="s">
        <v>895</v>
      </c>
      <c r="D145" s="26" t="s">
        <v>896</v>
      </c>
      <c r="E145" s="26" t="s">
        <v>1041</v>
      </c>
      <c r="F145" s="26" t="s">
        <v>898</v>
      </c>
      <c r="G145" s="26">
        <v>0.0</v>
      </c>
      <c r="H145" s="26">
        <v>3081.4674</v>
      </c>
      <c r="I145" s="26">
        <v>0.9794</v>
      </c>
      <c r="J145" s="26">
        <v>3018.0875</v>
      </c>
      <c r="K145" s="26">
        <v>63.3798</v>
      </c>
      <c r="L145" s="26">
        <v>0.0</v>
      </c>
    </row>
    <row r="146" ht="14.25" customHeight="1">
      <c r="A146" s="26" t="s">
        <v>893</v>
      </c>
      <c r="B146" s="26" t="s">
        <v>894</v>
      </c>
      <c r="C146" s="26" t="s">
        <v>895</v>
      </c>
      <c r="D146" s="26" t="s">
        <v>896</v>
      </c>
      <c r="E146" s="26" t="s">
        <v>1042</v>
      </c>
      <c r="F146" s="26" t="s">
        <v>898</v>
      </c>
      <c r="G146" s="26">
        <v>-8.81</v>
      </c>
      <c r="H146" s="26">
        <v>3048.2684</v>
      </c>
      <c r="I146" s="26">
        <v>0.9901</v>
      </c>
      <c r="J146" s="26">
        <v>3018.0875</v>
      </c>
      <c r="K146" s="26">
        <v>30.1809</v>
      </c>
      <c r="L146" s="26">
        <v>0.0</v>
      </c>
    </row>
    <row r="147" ht="14.25" customHeight="1">
      <c r="A147" s="26" t="s">
        <v>893</v>
      </c>
      <c r="B147" s="26" t="s">
        <v>894</v>
      </c>
      <c r="C147" s="26" t="s">
        <v>895</v>
      </c>
      <c r="D147" s="26" t="s">
        <v>896</v>
      </c>
      <c r="E147" s="26" t="s">
        <v>1043</v>
      </c>
      <c r="F147" s="26" t="s">
        <v>898</v>
      </c>
      <c r="G147" s="26">
        <v>-8.18</v>
      </c>
      <c r="H147" s="26">
        <v>3048.2684</v>
      </c>
      <c r="I147" s="26">
        <v>0.9901</v>
      </c>
      <c r="J147" s="26">
        <v>3018.0875</v>
      </c>
      <c r="K147" s="26">
        <v>30.1809</v>
      </c>
      <c r="L147" s="26">
        <v>0.0</v>
      </c>
    </row>
    <row r="148" ht="14.25" customHeight="1">
      <c r="A148" s="26" t="s">
        <v>893</v>
      </c>
      <c r="B148" s="26" t="s">
        <v>894</v>
      </c>
      <c r="C148" s="26" t="s">
        <v>895</v>
      </c>
      <c r="D148" s="26" t="s">
        <v>896</v>
      </c>
      <c r="E148" s="26" t="s">
        <v>1044</v>
      </c>
      <c r="F148" s="26" t="s">
        <v>898</v>
      </c>
      <c r="G148" s="26">
        <v>-15.21</v>
      </c>
      <c r="H148" s="26">
        <v>3048.2684</v>
      </c>
      <c r="I148" s="26">
        <v>0.9901</v>
      </c>
      <c r="J148" s="26">
        <v>3018.0875</v>
      </c>
      <c r="K148" s="26">
        <v>30.1809</v>
      </c>
      <c r="L148" s="26">
        <v>0.0</v>
      </c>
    </row>
    <row r="149" ht="14.25" customHeight="1">
      <c r="A149" s="26" t="s">
        <v>893</v>
      </c>
      <c r="B149" s="26" t="s">
        <v>894</v>
      </c>
      <c r="C149" s="26" t="s">
        <v>895</v>
      </c>
      <c r="D149" s="26" t="s">
        <v>896</v>
      </c>
      <c r="E149" s="26" t="s">
        <v>1045</v>
      </c>
      <c r="F149" s="26" t="s">
        <v>898</v>
      </c>
      <c r="G149" s="26">
        <v>-42.71</v>
      </c>
      <c r="H149" s="26">
        <v>3048.5702</v>
      </c>
      <c r="I149" s="26">
        <v>0.99</v>
      </c>
      <c r="J149" s="26">
        <v>3018.0875</v>
      </c>
      <c r="K149" s="26">
        <v>30.4827</v>
      </c>
      <c r="L149" s="26">
        <v>0.0</v>
      </c>
    </row>
    <row r="150" ht="14.25" customHeight="1">
      <c r="A150" s="26" t="s">
        <v>893</v>
      </c>
      <c r="B150" s="26" t="s">
        <v>894</v>
      </c>
      <c r="C150" s="26" t="s">
        <v>895</v>
      </c>
      <c r="D150" s="26" t="s">
        <v>896</v>
      </c>
      <c r="E150" s="26" t="s">
        <v>1046</v>
      </c>
      <c r="F150" s="26" t="s">
        <v>898</v>
      </c>
      <c r="G150" s="26">
        <v>0.0</v>
      </c>
      <c r="H150" s="26">
        <v>3048.5702</v>
      </c>
      <c r="I150" s="26">
        <v>0.99</v>
      </c>
      <c r="J150" s="26">
        <v>3018.0875</v>
      </c>
      <c r="K150" s="26">
        <v>30.4827</v>
      </c>
      <c r="L150" s="26">
        <v>0.0</v>
      </c>
    </row>
    <row r="151" ht="14.25" customHeight="1">
      <c r="A151" s="26" t="s">
        <v>893</v>
      </c>
      <c r="B151" s="26" t="s">
        <v>894</v>
      </c>
      <c r="C151" s="26" t="s">
        <v>895</v>
      </c>
      <c r="D151" s="26" t="s">
        <v>896</v>
      </c>
      <c r="E151" s="26" t="s">
        <v>1047</v>
      </c>
      <c r="F151" s="26" t="s">
        <v>898</v>
      </c>
      <c r="G151" s="26">
        <v>0.0</v>
      </c>
      <c r="H151" s="26">
        <v>3144.8472</v>
      </c>
      <c r="I151" s="26">
        <v>0.9597</v>
      </c>
      <c r="J151" s="26">
        <v>3018.0875</v>
      </c>
      <c r="K151" s="26">
        <v>126.7597</v>
      </c>
      <c r="L151" s="26">
        <v>0.0</v>
      </c>
    </row>
    <row r="152" ht="14.25" customHeight="1">
      <c r="A152" s="26" t="s">
        <v>893</v>
      </c>
      <c r="B152" s="26" t="s">
        <v>894</v>
      </c>
      <c r="C152" s="26" t="s">
        <v>895</v>
      </c>
      <c r="D152" s="26" t="s">
        <v>896</v>
      </c>
      <c r="E152" s="26" t="s">
        <v>1048</v>
      </c>
      <c r="F152" s="26" t="s">
        <v>898</v>
      </c>
      <c r="G152" s="26">
        <v>-0.06</v>
      </c>
      <c r="H152" s="26">
        <v>3125.5314</v>
      </c>
      <c r="I152" s="26">
        <v>0.9656</v>
      </c>
      <c r="J152" s="26">
        <v>3018.0875</v>
      </c>
      <c r="K152" s="26">
        <v>107.4439</v>
      </c>
      <c r="L152" s="26">
        <v>0.0</v>
      </c>
    </row>
    <row r="153" ht="14.25" customHeight="1">
      <c r="A153" s="26" t="s">
        <v>893</v>
      </c>
      <c r="B153" s="26" t="s">
        <v>894</v>
      </c>
      <c r="C153" s="26" t="s">
        <v>895</v>
      </c>
      <c r="D153" s="26" t="s">
        <v>896</v>
      </c>
      <c r="E153" s="26" t="s">
        <v>1049</v>
      </c>
      <c r="F153" s="26" t="s">
        <v>898</v>
      </c>
      <c r="G153" s="26">
        <v>-19.7</v>
      </c>
      <c r="H153" s="26">
        <v>3125.5314</v>
      </c>
      <c r="I153" s="26">
        <v>0.9656</v>
      </c>
      <c r="J153" s="26">
        <v>3018.0875</v>
      </c>
      <c r="K153" s="26">
        <v>107.4439</v>
      </c>
      <c r="L153" s="26">
        <v>0.0</v>
      </c>
    </row>
    <row r="154" ht="14.25" customHeight="1">
      <c r="A154" s="26" t="s">
        <v>893</v>
      </c>
      <c r="B154" s="26" t="s">
        <v>894</v>
      </c>
      <c r="C154" s="26" t="s">
        <v>895</v>
      </c>
      <c r="D154" s="26" t="s">
        <v>896</v>
      </c>
      <c r="E154" s="26" t="s">
        <v>1050</v>
      </c>
      <c r="F154" s="26" t="s">
        <v>898</v>
      </c>
      <c r="G154" s="26">
        <v>-3.68</v>
      </c>
      <c r="H154" s="26">
        <v>3125.5314</v>
      </c>
      <c r="I154" s="26">
        <v>0.9656</v>
      </c>
      <c r="J154" s="26">
        <v>3018.0875</v>
      </c>
      <c r="K154" s="26">
        <v>107.4439</v>
      </c>
      <c r="L154" s="26">
        <v>0.0</v>
      </c>
    </row>
    <row r="155" ht="14.25" customHeight="1">
      <c r="A155" s="26" t="s">
        <v>893</v>
      </c>
      <c r="B155" s="26" t="s">
        <v>894</v>
      </c>
      <c r="C155" s="26" t="s">
        <v>895</v>
      </c>
      <c r="D155" s="26" t="s">
        <v>896</v>
      </c>
      <c r="E155" s="26" t="s">
        <v>1051</v>
      </c>
      <c r="F155" s="26" t="s">
        <v>898</v>
      </c>
      <c r="G155" s="26">
        <v>0.0</v>
      </c>
      <c r="H155" s="26">
        <v>3127.6441</v>
      </c>
      <c r="I155" s="26">
        <v>0.965</v>
      </c>
      <c r="J155" s="26">
        <v>3018.0875</v>
      </c>
      <c r="K155" s="26">
        <v>109.5566</v>
      </c>
      <c r="L155" s="26">
        <v>0.0</v>
      </c>
    </row>
    <row r="156" ht="14.25" customHeight="1">
      <c r="A156" s="26" t="s">
        <v>893</v>
      </c>
      <c r="B156" s="26" t="s">
        <v>894</v>
      </c>
      <c r="C156" s="26" t="s">
        <v>895</v>
      </c>
      <c r="D156" s="26" t="s">
        <v>896</v>
      </c>
      <c r="E156" s="26" t="s">
        <v>1052</v>
      </c>
      <c r="F156" s="26" t="s">
        <v>898</v>
      </c>
      <c r="G156" s="26">
        <v>-0.24</v>
      </c>
      <c r="H156" s="26">
        <v>3076.6384</v>
      </c>
      <c r="I156" s="26">
        <v>0.981</v>
      </c>
      <c r="J156" s="26">
        <v>3018.0875</v>
      </c>
      <c r="K156" s="26">
        <v>58.5509</v>
      </c>
      <c r="L156" s="26">
        <v>0.0</v>
      </c>
    </row>
    <row r="157" ht="14.25" customHeight="1">
      <c r="A157" s="26" t="s">
        <v>893</v>
      </c>
      <c r="B157" s="26" t="s">
        <v>894</v>
      </c>
      <c r="C157" s="26" t="s">
        <v>895</v>
      </c>
      <c r="D157" s="26" t="s">
        <v>896</v>
      </c>
      <c r="E157" s="26" t="s">
        <v>1053</v>
      </c>
      <c r="F157" s="26" t="s">
        <v>898</v>
      </c>
      <c r="G157" s="26">
        <v>0.0</v>
      </c>
      <c r="H157" s="26">
        <v>3079.0529</v>
      </c>
      <c r="I157" s="26">
        <v>0.9802</v>
      </c>
      <c r="J157" s="26">
        <v>3018.0875</v>
      </c>
      <c r="K157" s="26">
        <v>60.9654</v>
      </c>
      <c r="L157" s="26">
        <v>0.0</v>
      </c>
    </row>
    <row r="158" ht="14.25" customHeight="1">
      <c r="A158" s="26" t="s">
        <v>893</v>
      </c>
      <c r="B158" s="26" t="s">
        <v>894</v>
      </c>
      <c r="C158" s="26" t="s">
        <v>895</v>
      </c>
      <c r="D158" s="26" t="s">
        <v>896</v>
      </c>
      <c r="E158" s="26" t="s">
        <v>1054</v>
      </c>
      <c r="F158" s="26" t="s">
        <v>898</v>
      </c>
      <c r="G158" s="26">
        <v>0.0</v>
      </c>
      <c r="H158" s="26">
        <v>3079.0529</v>
      </c>
      <c r="I158" s="26">
        <v>0.9802</v>
      </c>
      <c r="J158" s="26">
        <v>3018.0875</v>
      </c>
      <c r="K158" s="26">
        <v>60.9654</v>
      </c>
      <c r="L158" s="26">
        <v>0.0</v>
      </c>
    </row>
    <row r="159" ht="14.25" customHeight="1">
      <c r="A159" s="26" t="s">
        <v>893</v>
      </c>
      <c r="B159" s="26" t="s">
        <v>894</v>
      </c>
      <c r="C159" s="26" t="s">
        <v>895</v>
      </c>
      <c r="D159" s="26" t="s">
        <v>896</v>
      </c>
      <c r="E159" s="26" t="s">
        <v>1055</v>
      </c>
      <c r="F159" s="26" t="s">
        <v>898</v>
      </c>
      <c r="G159" s="26">
        <v>-35.33</v>
      </c>
      <c r="H159" s="26">
        <v>3079.0529</v>
      </c>
      <c r="I159" s="26">
        <v>0.9802</v>
      </c>
      <c r="J159" s="26">
        <v>3018.0875</v>
      </c>
      <c r="K159" s="26">
        <v>60.9654</v>
      </c>
      <c r="L159" s="26">
        <v>0.0</v>
      </c>
    </row>
    <row r="160" ht="14.25" customHeight="1">
      <c r="A160" s="26" t="s">
        <v>893</v>
      </c>
      <c r="B160" s="26" t="s">
        <v>894</v>
      </c>
      <c r="C160" s="26" t="s">
        <v>895</v>
      </c>
      <c r="D160" s="26" t="s">
        <v>896</v>
      </c>
      <c r="E160" s="26" t="s">
        <v>1056</v>
      </c>
      <c r="F160" s="26" t="s">
        <v>898</v>
      </c>
      <c r="G160" s="26">
        <v>-43.39</v>
      </c>
      <c r="H160" s="26">
        <v>3079.0529</v>
      </c>
      <c r="I160" s="26">
        <v>0.9802</v>
      </c>
      <c r="J160" s="26">
        <v>3018.0875</v>
      </c>
      <c r="K160" s="26">
        <v>60.9654</v>
      </c>
      <c r="L160" s="26">
        <v>0.0</v>
      </c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0.71"/>
    <col customWidth="1" min="10" max="10" width="10.14"/>
    <col customWidth="1" min="11" max="11" width="9.71"/>
    <col customWidth="1" min="12" max="12" width="15.14"/>
  </cols>
  <sheetData>
    <row r="1" ht="14.25" customHeight="1">
      <c r="A1" s="29" t="s">
        <v>882</v>
      </c>
      <c r="B1" s="29" t="s">
        <v>883</v>
      </c>
      <c r="C1" s="29" t="s">
        <v>884</v>
      </c>
      <c r="D1" s="29" t="s">
        <v>12</v>
      </c>
      <c r="E1" s="29" t="s">
        <v>885</v>
      </c>
      <c r="F1" s="29" t="s">
        <v>886</v>
      </c>
      <c r="G1" s="29" t="s">
        <v>887</v>
      </c>
      <c r="H1" s="30" t="s">
        <v>888</v>
      </c>
      <c r="I1" s="29" t="s">
        <v>889</v>
      </c>
      <c r="J1" s="29" t="s">
        <v>890</v>
      </c>
      <c r="K1" s="29" t="s">
        <v>891</v>
      </c>
      <c r="L1" s="29" t="s">
        <v>892</v>
      </c>
    </row>
    <row r="2" ht="14.25" customHeight="1">
      <c r="A2" s="26" t="s">
        <v>1057</v>
      </c>
      <c r="B2" s="26" t="s">
        <v>894</v>
      </c>
      <c r="C2" s="26" t="s">
        <v>1058</v>
      </c>
      <c r="D2" s="26" t="s">
        <v>896</v>
      </c>
      <c r="E2" s="26" t="s">
        <v>897</v>
      </c>
      <c r="F2" s="26" t="s">
        <v>898</v>
      </c>
      <c r="G2" s="26">
        <v>0.0</v>
      </c>
      <c r="H2" s="26">
        <v>4772.9023</v>
      </c>
      <c r="I2" s="26">
        <v>1.0684</v>
      </c>
      <c r="J2" s="26">
        <v>5099.2546</v>
      </c>
      <c r="K2" s="26">
        <v>-326.3523</v>
      </c>
      <c r="L2" s="26">
        <v>0.0</v>
      </c>
    </row>
    <row r="3" ht="14.25" customHeight="1">
      <c r="A3" s="26" t="s">
        <v>1057</v>
      </c>
      <c r="B3" s="26" t="s">
        <v>894</v>
      </c>
      <c r="C3" s="26" t="s">
        <v>1058</v>
      </c>
      <c r="D3" s="26" t="s">
        <v>896</v>
      </c>
      <c r="E3" s="26" t="s">
        <v>899</v>
      </c>
      <c r="F3" s="26" t="s">
        <v>898</v>
      </c>
      <c r="G3" s="26">
        <v>-37.69</v>
      </c>
      <c r="H3" s="26">
        <v>4773.4122</v>
      </c>
      <c r="I3" s="26">
        <v>1.0683</v>
      </c>
      <c r="J3" s="26">
        <v>5099.2546</v>
      </c>
      <c r="K3" s="26">
        <v>-325.8424</v>
      </c>
      <c r="L3" s="26">
        <v>0.0</v>
      </c>
    </row>
    <row r="4" ht="14.25" customHeight="1">
      <c r="A4" s="26" t="s">
        <v>1057</v>
      </c>
      <c r="B4" s="26" t="s">
        <v>894</v>
      </c>
      <c r="C4" s="26" t="s">
        <v>1058</v>
      </c>
      <c r="D4" s="26" t="s">
        <v>896</v>
      </c>
      <c r="E4" s="26" t="s">
        <v>900</v>
      </c>
      <c r="F4" s="26" t="s">
        <v>898</v>
      </c>
      <c r="G4" s="26">
        <v>-2.72</v>
      </c>
      <c r="H4" s="26">
        <v>4775.4519</v>
      </c>
      <c r="I4" s="26">
        <v>1.0678</v>
      </c>
      <c r="J4" s="26">
        <v>5099.2546</v>
      </c>
      <c r="K4" s="26">
        <v>-323.8027</v>
      </c>
      <c r="L4" s="26">
        <v>0.0</v>
      </c>
    </row>
    <row r="5" ht="14.25" customHeight="1">
      <c r="A5" s="26" t="s">
        <v>1057</v>
      </c>
      <c r="B5" s="26" t="s">
        <v>894</v>
      </c>
      <c r="C5" s="26" t="s">
        <v>1058</v>
      </c>
      <c r="D5" s="26" t="s">
        <v>896</v>
      </c>
      <c r="E5" s="26" t="s">
        <v>901</v>
      </c>
      <c r="F5" s="26" t="s">
        <v>898</v>
      </c>
      <c r="G5" s="26">
        <v>-5.28</v>
      </c>
      <c r="H5" s="26">
        <v>4775.4519</v>
      </c>
      <c r="I5" s="26">
        <v>1.0678</v>
      </c>
      <c r="J5" s="26">
        <v>5099.2546</v>
      </c>
      <c r="K5" s="26">
        <v>-323.8027</v>
      </c>
      <c r="L5" s="26">
        <v>0.0</v>
      </c>
    </row>
    <row r="6" ht="14.25" customHeight="1">
      <c r="A6" s="26" t="s">
        <v>1057</v>
      </c>
      <c r="B6" s="26" t="s">
        <v>894</v>
      </c>
      <c r="C6" s="26" t="s">
        <v>1058</v>
      </c>
      <c r="D6" s="26" t="s">
        <v>896</v>
      </c>
      <c r="E6" s="26" t="s">
        <v>902</v>
      </c>
      <c r="F6" s="26" t="s">
        <v>898</v>
      </c>
      <c r="G6" s="26">
        <v>-24.35</v>
      </c>
      <c r="H6" s="26">
        <v>4823.3849</v>
      </c>
      <c r="I6" s="26">
        <v>1.0572</v>
      </c>
      <c r="J6" s="26">
        <v>5099.2546</v>
      </c>
      <c r="K6" s="26">
        <v>-275.8697</v>
      </c>
      <c r="L6" s="26">
        <v>0.0</v>
      </c>
    </row>
    <row r="7" ht="14.25" customHeight="1">
      <c r="A7" s="26" t="s">
        <v>1057</v>
      </c>
      <c r="B7" s="26" t="s">
        <v>894</v>
      </c>
      <c r="C7" s="26" t="s">
        <v>1058</v>
      </c>
      <c r="D7" s="26" t="s">
        <v>896</v>
      </c>
      <c r="E7" s="26" t="s">
        <v>903</v>
      </c>
      <c r="F7" s="26" t="s">
        <v>898</v>
      </c>
      <c r="G7" s="26">
        <v>0.0</v>
      </c>
      <c r="H7" s="26">
        <v>4823.8948</v>
      </c>
      <c r="I7" s="26">
        <v>1.0571</v>
      </c>
      <c r="J7" s="26">
        <v>5099.2546</v>
      </c>
      <c r="K7" s="26">
        <v>-275.3597</v>
      </c>
      <c r="L7" s="26">
        <v>0.0</v>
      </c>
    </row>
    <row r="8" ht="14.25" customHeight="1">
      <c r="A8" s="26" t="s">
        <v>1057</v>
      </c>
      <c r="B8" s="26" t="s">
        <v>894</v>
      </c>
      <c r="C8" s="26" t="s">
        <v>1058</v>
      </c>
      <c r="D8" s="26" t="s">
        <v>896</v>
      </c>
      <c r="E8" s="26" t="s">
        <v>904</v>
      </c>
      <c r="F8" s="26" t="s">
        <v>898</v>
      </c>
      <c r="G8" s="26">
        <v>0.0</v>
      </c>
      <c r="H8" s="26">
        <v>4669.8973</v>
      </c>
      <c r="I8" s="26">
        <v>1.0919</v>
      </c>
      <c r="J8" s="26">
        <v>5099.2546</v>
      </c>
      <c r="K8" s="26">
        <v>-429.3572</v>
      </c>
      <c r="L8" s="26">
        <v>0.0</v>
      </c>
    </row>
    <row r="9" ht="14.25" customHeight="1">
      <c r="A9" s="26" t="s">
        <v>1057</v>
      </c>
      <c r="B9" s="26" t="s">
        <v>894</v>
      </c>
      <c r="C9" s="26" t="s">
        <v>1058</v>
      </c>
      <c r="D9" s="26" t="s">
        <v>896</v>
      </c>
      <c r="E9" s="26" t="s">
        <v>905</v>
      </c>
      <c r="F9" s="26" t="s">
        <v>898</v>
      </c>
      <c r="G9" s="26">
        <v>-7.62</v>
      </c>
      <c r="H9" s="26">
        <v>4669.8973</v>
      </c>
      <c r="I9" s="26">
        <v>1.0919</v>
      </c>
      <c r="J9" s="26">
        <v>5099.2546</v>
      </c>
      <c r="K9" s="26">
        <v>-429.3572</v>
      </c>
      <c r="L9" s="26">
        <v>0.0</v>
      </c>
    </row>
    <row r="10" ht="14.25" customHeight="1">
      <c r="A10" s="26" t="s">
        <v>1057</v>
      </c>
      <c r="B10" s="26" t="s">
        <v>894</v>
      </c>
      <c r="C10" s="26" t="s">
        <v>1058</v>
      </c>
      <c r="D10" s="26" t="s">
        <v>896</v>
      </c>
      <c r="E10" s="26" t="s">
        <v>906</v>
      </c>
      <c r="F10" s="26" t="s">
        <v>898</v>
      </c>
      <c r="G10" s="26">
        <v>-0.08</v>
      </c>
      <c r="H10" s="26">
        <v>4669.8973</v>
      </c>
      <c r="I10" s="26">
        <v>1.0919</v>
      </c>
      <c r="J10" s="26">
        <v>5099.2546</v>
      </c>
      <c r="K10" s="26">
        <v>-429.3572</v>
      </c>
      <c r="L10" s="26">
        <v>0.0</v>
      </c>
    </row>
    <row r="11" ht="14.25" customHeight="1">
      <c r="A11" s="26" t="s">
        <v>1057</v>
      </c>
      <c r="B11" s="26" t="s">
        <v>894</v>
      </c>
      <c r="C11" s="26" t="s">
        <v>1058</v>
      </c>
      <c r="D11" s="26" t="s">
        <v>896</v>
      </c>
      <c r="E11" s="26" t="s">
        <v>907</v>
      </c>
      <c r="F11" s="26" t="s">
        <v>898</v>
      </c>
      <c r="G11" s="26">
        <v>-0.54</v>
      </c>
      <c r="H11" s="26">
        <v>4669.8973</v>
      </c>
      <c r="I11" s="26">
        <v>1.0919</v>
      </c>
      <c r="J11" s="26">
        <v>5099.2546</v>
      </c>
      <c r="K11" s="26">
        <v>-429.3572</v>
      </c>
      <c r="L11" s="26">
        <v>0.0</v>
      </c>
    </row>
    <row r="12" ht="14.25" customHeight="1">
      <c r="A12" s="26" t="s">
        <v>1057</v>
      </c>
      <c r="B12" s="26" t="s">
        <v>894</v>
      </c>
      <c r="C12" s="26" t="s">
        <v>1058</v>
      </c>
      <c r="D12" s="26" t="s">
        <v>896</v>
      </c>
      <c r="E12" s="26" t="s">
        <v>908</v>
      </c>
      <c r="F12" s="26" t="s">
        <v>898</v>
      </c>
      <c r="G12" s="26">
        <v>-6.21</v>
      </c>
      <c r="H12" s="26">
        <v>4669.8973</v>
      </c>
      <c r="I12" s="26">
        <v>1.0919</v>
      </c>
      <c r="J12" s="26">
        <v>5099.2546</v>
      </c>
      <c r="K12" s="26">
        <v>-429.3572</v>
      </c>
      <c r="L12" s="26">
        <v>0.0</v>
      </c>
    </row>
    <row r="13" ht="14.25" customHeight="1">
      <c r="A13" s="26" t="s">
        <v>1057</v>
      </c>
      <c r="B13" s="26" t="s">
        <v>894</v>
      </c>
      <c r="C13" s="26" t="s">
        <v>1058</v>
      </c>
      <c r="D13" s="26" t="s">
        <v>896</v>
      </c>
      <c r="E13" s="26" t="s">
        <v>909</v>
      </c>
      <c r="F13" s="26" t="s">
        <v>898</v>
      </c>
      <c r="G13" s="26">
        <v>-0.16</v>
      </c>
      <c r="H13" s="26">
        <v>4669.8973</v>
      </c>
      <c r="I13" s="26">
        <v>1.0919</v>
      </c>
      <c r="J13" s="26">
        <v>5099.2546</v>
      </c>
      <c r="K13" s="26">
        <v>-429.3572</v>
      </c>
      <c r="L13" s="26">
        <v>0.0</v>
      </c>
    </row>
    <row r="14" ht="14.25" customHeight="1">
      <c r="A14" s="26" t="s">
        <v>1057</v>
      </c>
      <c r="B14" s="26" t="s">
        <v>894</v>
      </c>
      <c r="C14" s="26" t="s">
        <v>1058</v>
      </c>
      <c r="D14" s="26" t="s">
        <v>896</v>
      </c>
      <c r="E14" s="26" t="s">
        <v>910</v>
      </c>
      <c r="F14" s="26" t="s">
        <v>898</v>
      </c>
      <c r="G14" s="26">
        <v>0.0</v>
      </c>
      <c r="H14" s="26">
        <v>4684.6852</v>
      </c>
      <c r="I14" s="26">
        <v>1.0885</v>
      </c>
      <c r="J14" s="26">
        <v>5099.2546</v>
      </c>
      <c r="K14" s="26">
        <v>-414.5694</v>
      </c>
      <c r="L14" s="26">
        <v>0.0</v>
      </c>
    </row>
    <row r="15" ht="14.25" customHeight="1">
      <c r="A15" s="26" t="s">
        <v>1057</v>
      </c>
      <c r="B15" s="26" t="s">
        <v>894</v>
      </c>
      <c r="C15" s="26" t="s">
        <v>1058</v>
      </c>
      <c r="D15" s="26" t="s">
        <v>896</v>
      </c>
      <c r="E15" s="26" t="s">
        <v>911</v>
      </c>
      <c r="F15" s="26" t="s">
        <v>898</v>
      </c>
      <c r="G15" s="26">
        <v>0.0</v>
      </c>
      <c r="H15" s="26">
        <v>4843.272</v>
      </c>
      <c r="I15" s="26">
        <v>1.0528</v>
      </c>
      <c r="J15" s="26">
        <v>5099.2546</v>
      </c>
      <c r="K15" s="26">
        <v>-255.9826</v>
      </c>
      <c r="L15" s="26">
        <v>0.0</v>
      </c>
    </row>
    <row r="16" ht="14.25" customHeight="1">
      <c r="A16" s="26" t="s">
        <v>1057</v>
      </c>
      <c r="B16" s="26" t="s">
        <v>894</v>
      </c>
      <c r="C16" s="26" t="s">
        <v>1058</v>
      </c>
      <c r="D16" s="26" t="s">
        <v>896</v>
      </c>
      <c r="E16" s="26" t="s">
        <v>912</v>
      </c>
      <c r="F16" s="26" t="s">
        <v>898</v>
      </c>
      <c r="G16" s="26">
        <v>-7.29</v>
      </c>
      <c r="H16" s="26">
        <v>4853.4705</v>
      </c>
      <c r="I16" s="26">
        <v>1.0506</v>
      </c>
      <c r="J16" s="26">
        <v>5099.2546</v>
      </c>
      <c r="K16" s="26">
        <v>-245.7841</v>
      </c>
      <c r="L16" s="26">
        <v>0.0</v>
      </c>
    </row>
    <row r="17" ht="14.25" customHeight="1">
      <c r="A17" s="26" t="s">
        <v>1057</v>
      </c>
      <c r="B17" s="26" t="s">
        <v>894</v>
      </c>
      <c r="C17" s="26" t="s">
        <v>1058</v>
      </c>
      <c r="D17" s="26" t="s">
        <v>896</v>
      </c>
      <c r="E17" s="26" t="s">
        <v>913</v>
      </c>
      <c r="F17" s="26" t="s">
        <v>898</v>
      </c>
      <c r="G17" s="26">
        <v>-21.97</v>
      </c>
      <c r="H17" s="26">
        <v>4853.4705</v>
      </c>
      <c r="I17" s="26">
        <v>1.0506</v>
      </c>
      <c r="J17" s="26">
        <v>5099.2546</v>
      </c>
      <c r="K17" s="26">
        <v>-245.7841</v>
      </c>
      <c r="L17" s="26">
        <v>0.0</v>
      </c>
    </row>
    <row r="18" ht="14.25" customHeight="1">
      <c r="A18" s="26" t="s">
        <v>1057</v>
      </c>
      <c r="B18" s="26" t="s">
        <v>894</v>
      </c>
      <c r="C18" s="26" t="s">
        <v>1058</v>
      </c>
      <c r="D18" s="26" t="s">
        <v>896</v>
      </c>
      <c r="E18" s="26" t="s">
        <v>914</v>
      </c>
      <c r="F18" s="26" t="s">
        <v>898</v>
      </c>
      <c r="G18" s="26">
        <v>0.0</v>
      </c>
      <c r="H18" s="26">
        <v>4678.5661</v>
      </c>
      <c r="I18" s="26">
        <v>1.0899</v>
      </c>
      <c r="J18" s="26">
        <v>5099.2546</v>
      </c>
      <c r="K18" s="26">
        <v>-420.6885</v>
      </c>
      <c r="L18" s="26">
        <v>0.0</v>
      </c>
    </row>
    <row r="19" ht="14.25" customHeight="1">
      <c r="A19" s="26" t="s">
        <v>1057</v>
      </c>
      <c r="B19" s="26" t="s">
        <v>894</v>
      </c>
      <c r="C19" s="26" t="s">
        <v>1058</v>
      </c>
      <c r="D19" s="26" t="s">
        <v>896</v>
      </c>
      <c r="E19" s="26" t="s">
        <v>915</v>
      </c>
      <c r="F19" s="26" t="s">
        <v>898</v>
      </c>
      <c r="G19" s="26">
        <v>0.0</v>
      </c>
      <c r="H19" s="26">
        <v>4684.1752</v>
      </c>
      <c r="I19" s="26">
        <v>1.0886</v>
      </c>
      <c r="J19" s="26">
        <v>5099.2546</v>
      </c>
      <c r="K19" s="26">
        <v>-415.0793</v>
      </c>
      <c r="L19" s="26">
        <v>0.0</v>
      </c>
    </row>
    <row r="20" ht="14.25" customHeight="1">
      <c r="A20" s="26" t="s">
        <v>1057</v>
      </c>
      <c r="B20" s="26" t="s">
        <v>894</v>
      </c>
      <c r="C20" s="26" t="s">
        <v>1058</v>
      </c>
      <c r="D20" s="26" t="s">
        <v>896</v>
      </c>
      <c r="E20" s="26" t="s">
        <v>916</v>
      </c>
      <c r="F20" s="26" t="s">
        <v>898</v>
      </c>
      <c r="G20" s="26">
        <v>0.0</v>
      </c>
      <c r="H20" s="26">
        <v>4678.5661</v>
      </c>
      <c r="I20" s="26">
        <v>1.0899</v>
      </c>
      <c r="J20" s="26">
        <v>5099.2546</v>
      </c>
      <c r="K20" s="26">
        <v>-420.6885</v>
      </c>
      <c r="L20" s="26">
        <v>0.0</v>
      </c>
    </row>
    <row r="21" ht="14.25" customHeight="1">
      <c r="A21" s="26" t="s">
        <v>1057</v>
      </c>
      <c r="B21" s="26" t="s">
        <v>894</v>
      </c>
      <c r="C21" s="26" t="s">
        <v>1058</v>
      </c>
      <c r="D21" s="26" t="s">
        <v>896</v>
      </c>
      <c r="E21" s="26" t="s">
        <v>917</v>
      </c>
      <c r="F21" s="26" t="s">
        <v>898</v>
      </c>
      <c r="G21" s="26">
        <v>-29.56</v>
      </c>
      <c r="H21" s="26">
        <v>4678.5661</v>
      </c>
      <c r="I21" s="26">
        <v>1.0899</v>
      </c>
      <c r="J21" s="26">
        <v>5099.2546</v>
      </c>
      <c r="K21" s="26">
        <v>-420.6885</v>
      </c>
      <c r="L21" s="26">
        <v>0.0</v>
      </c>
    </row>
    <row r="22" ht="14.25" customHeight="1">
      <c r="A22" s="26" t="s">
        <v>1057</v>
      </c>
      <c r="B22" s="26" t="s">
        <v>894</v>
      </c>
      <c r="C22" s="26" t="s">
        <v>1058</v>
      </c>
      <c r="D22" s="26" t="s">
        <v>896</v>
      </c>
      <c r="E22" s="26" t="s">
        <v>918</v>
      </c>
      <c r="F22" s="26" t="s">
        <v>898</v>
      </c>
      <c r="G22" s="26">
        <v>0.0</v>
      </c>
      <c r="H22" s="26">
        <v>4795.339</v>
      </c>
      <c r="I22" s="26">
        <v>1.0634</v>
      </c>
      <c r="J22" s="26">
        <v>5099.2546</v>
      </c>
      <c r="K22" s="26">
        <v>-303.9156</v>
      </c>
      <c r="L22" s="26">
        <v>0.0</v>
      </c>
    </row>
    <row r="23" ht="14.25" customHeight="1">
      <c r="A23" s="26" t="s">
        <v>1057</v>
      </c>
      <c r="B23" s="26" t="s">
        <v>894</v>
      </c>
      <c r="C23" s="26" t="s">
        <v>1058</v>
      </c>
      <c r="D23" s="26" t="s">
        <v>896</v>
      </c>
      <c r="E23" s="26" t="s">
        <v>919</v>
      </c>
      <c r="F23" s="26" t="s">
        <v>898</v>
      </c>
      <c r="G23" s="26">
        <v>0.0</v>
      </c>
      <c r="H23" s="26">
        <v>4823.3849</v>
      </c>
      <c r="I23" s="26">
        <v>1.0572</v>
      </c>
      <c r="J23" s="26">
        <v>5099.2546</v>
      </c>
      <c r="K23" s="26">
        <v>-275.8697</v>
      </c>
      <c r="L23" s="26">
        <v>0.0</v>
      </c>
    </row>
    <row r="24" ht="14.25" customHeight="1">
      <c r="A24" s="26" t="s">
        <v>1057</v>
      </c>
      <c r="B24" s="26" t="s">
        <v>894</v>
      </c>
      <c r="C24" s="26" t="s">
        <v>1058</v>
      </c>
      <c r="D24" s="26" t="s">
        <v>896</v>
      </c>
      <c r="E24" s="26" t="s">
        <v>920</v>
      </c>
      <c r="F24" s="26" t="s">
        <v>898</v>
      </c>
      <c r="G24" s="26">
        <v>0.0</v>
      </c>
      <c r="H24" s="26">
        <v>4775.4519</v>
      </c>
      <c r="I24" s="26">
        <v>1.0679</v>
      </c>
      <c r="J24" s="26">
        <v>5099.2546</v>
      </c>
      <c r="K24" s="26">
        <v>-323.8027</v>
      </c>
      <c r="L24" s="26">
        <v>0.0</v>
      </c>
    </row>
    <row r="25" ht="14.25" customHeight="1">
      <c r="A25" s="26" t="s">
        <v>1057</v>
      </c>
      <c r="B25" s="26" t="s">
        <v>894</v>
      </c>
      <c r="C25" s="26" t="s">
        <v>1058</v>
      </c>
      <c r="D25" s="26" t="s">
        <v>896</v>
      </c>
      <c r="E25" s="26" t="s">
        <v>921</v>
      </c>
      <c r="F25" s="26" t="s">
        <v>898</v>
      </c>
      <c r="G25" s="26">
        <v>0.0</v>
      </c>
      <c r="H25" s="26">
        <v>5099.2546</v>
      </c>
      <c r="I25" s="26">
        <v>1.0</v>
      </c>
      <c r="J25" s="26">
        <v>5099.2546</v>
      </c>
      <c r="K25" s="26">
        <v>0.0</v>
      </c>
      <c r="L25" s="26">
        <v>0.0</v>
      </c>
    </row>
    <row r="26" ht="14.25" customHeight="1">
      <c r="A26" s="26" t="s">
        <v>1057</v>
      </c>
      <c r="B26" s="26" t="s">
        <v>894</v>
      </c>
      <c r="C26" s="26" t="s">
        <v>1058</v>
      </c>
      <c r="D26" s="26" t="s">
        <v>896</v>
      </c>
      <c r="E26" s="26" t="s">
        <v>922</v>
      </c>
      <c r="F26" s="26" t="s">
        <v>898</v>
      </c>
      <c r="G26" s="26">
        <v>0.0</v>
      </c>
      <c r="H26" s="26">
        <v>4762.7038</v>
      </c>
      <c r="I26" s="26">
        <v>1.0707</v>
      </c>
      <c r="J26" s="26">
        <v>5099.2546</v>
      </c>
      <c r="K26" s="26">
        <v>-336.5508</v>
      </c>
      <c r="L26" s="26">
        <v>0.0</v>
      </c>
    </row>
    <row r="27" ht="14.25" customHeight="1">
      <c r="A27" s="26" t="s">
        <v>1057</v>
      </c>
      <c r="B27" s="26" t="s">
        <v>894</v>
      </c>
      <c r="C27" s="26" t="s">
        <v>1058</v>
      </c>
      <c r="D27" s="26" t="s">
        <v>896</v>
      </c>
      <c r="E27" s="26" t="s">
        <v>923</v>
      </c>
      <c r="F27" s="26" t="s">
        <v>898</v>
      </c>
      <c r="G27" s="26">
        <v>0.0</v>
      </c>
      <c r="H27" s="26">
        <v>5099.2546</v>
      </c>
      <c r="I27" s="26">
        <v>1.0</v>
      </c>
      <c r="J27" s="26">
        <v>5099.2546</v>
      </c>
      <c r="K27" s="26">
        <v>0.0</v>
      </c>
      <c r="L27" s="26">
        <v>0.0</v>
      </c>
    </row>
    <row r="28" ht="14.25" customHeight="1">
      <c r="A28" s="26" t="s">
        <v>1057</v>
      </c>
      <c r="B28" s="26" t="s">
        <v>894</v>
      </c>
      <c r="C28" s="26" t="s">
        <v>1058</v>
      </c>
      <c r="D28" s="26" t="s">
        <v>896</v>
      </c>
      <c r="E28" s="26" t="s">
        <v>924</v>
      </c>
      <c r="F28" s="26" t="s">
        <v>898</v>
      </c>
      <c r="G28" s="26">
        <v>0.0</v>
      </c>
      <c r="H28" s="26">
        <v>4646.4408</v>
      </c>
      <c r="I28" s="26">
        <v>1.0974</v>
      </c>
      <c r="J28" s="26">
        <v>5099.2546</v>
      </c>
      <c r="K28" s="26">
        <v>-452.8138</v>
      </c>
      <c r="L28" s="26">
        <v>0.0</v>
      </c>
    </row>
    <row r="29" ht="14.25" customHeight="1">
      <c r="A29" s="26" t="s">
        <v>1057</v>
      </c>
      <c r="B29" s="26" t="s">
        <v>894</v>
      </c>
      <c r="C29" s="26" t="s">
        <v>1058</v>
      </c>
      <c r="D29" s="26" t="s">
        <v>896</v>
      </c>
      <c r="E29" s="26" t="s">
        <v>925</v>
      </c>
      <c r="F29" s="26" t="s">
        <v>898</v>
      </c>
      <c r="G29" s="26">
        <v>-9.08</v>
      </c>
      <c r="H29" s="26">
        <v>4650.0102</v>
      </c>
      <c r="I29" s="26">
        <v>1.0966</v>
      </c>
      <c r="J29" s="26">
        <v>5099.2546</v>
      </c>
      <c r="K29" s="26">
        <v>-449.2443</v>
      </c>
      <c r="L29" s="26">
        <v>0.0</v>
      </c>
    </row>
    <row r="30" ht="14.25" customHeight="1">
      <c r="A30" s="26" t="s">
        <v>1057</v>
      </c>
      <c r="B30" s="26" t="s">
        <v>894</v>
      </c>
      <c r="C30" s="26" t="s">
        <v>1058</v>
      </c>
      <c r="D30" s="26" t="s">
        <v>896</v>
      </c>
      <c r="E30" s="26" t="s">
        <v>926</v>
      </c>
      <c r="F30" s="26" t="s">
        <v>898</v>
      </c>
      <c r="G30" s="26">
        <v>0.0</v>
      </c>
      <c r="H30" s="26">
        <v>4684.1752</v>
      </c>
      <c r="I30" s="26">
        <v>1.0886</v>
      </c>
      <c r="J30" s="26">
        <v>5099.2546</v>
      </c>
      <c r="K30" s="26">
        <v>-415.0793</v>
      </c>
      <c r="L30" s="26">
        <v>0.0</v>
      </c>
    </row>
    <row r="31" ht="14.25" customHeight="1">
      <c r="A31" s="26" t="s">
        <v>1057</v>
      </c>
      <c r="B31" s="26" t="s">
        <v>894</v>
      </c>
      <c r="C31" s="26" t="s">
        <v>1058</v>
      </c>
      <c r="D31" s="26" t="s">
        <v>896</v>
      </c>
      <c r="E31" s="26" t="s">
        <v>927</v>
      </c>
      <c r="F31" s="26" t="s">
        <v>898</v>
      </c>
      <c r="G31" s="26">
        <v>-10.19</v>
      </c>
      <c r="H31" s="26">
        <v>4795.339</v>
      </c>
      <c r="I31" s="26">
        <v>1.0634</v>
      </c>
      <c r="J31" s="26">
        <v>5099.2546</v>
      </c>
      <c r="K31" s="26">
        <v>-303.9156</v>
      </c>
      <c r="L31" s="26">
        <v>0.0</v>
      </c>
    </row>
    <row r="32" ht="14.25" customHeight="1">
      <c r="A32" s="26" t="s">
        <v>1057</v>
      </c>
      <c r="B32" s="26" t="s">
        <v>894</v>
      </c>
      <c r="C32" s="26" t="s">
        <v>1058</v>
      </c>
      <c r="D32" s="26" t="s">
        <v>896</v>
      </c>
      <c r="E32" s="26" t="s">
        <v>928</v>
      </c>
      <c r="F32" s="26" t="s">
        <v>898</v>
      </c>
      <c r="G32" s="26">
        <v>0.0</v>
      </c>
      <c r="H32" s="26">
        <v>4610.746</v>
      </c>
      <c r="I32" s="26">
        <v>1.106</v>
      </c>
      <c r="J32" s="26">
        <v>5099.2546</v>
      </c>
      <c r="K32" s="26">
        <v>-488.5086</v>
      </c>
      <c r="L32" s="26">
        <v>0.0</v>
      </c>
    </row>
    <row r="33" ht="14.25" customHeight="1">
      <c r="A33" s="26" t="s">
        <v>1057</v>
      </c>
      <c r="B33" s="26" t="s">
        <v>894</v>
      </c>
      <c r="C33" s="26" t="s">
        <v>1058</v>
      </c>
      <c r="D33" s="26" t="s">
        <v>896</v>
      </c>
      <c r="E33" s="26" t="s">
        <v>929</v>
      </c>
      <c r="F33" s="26" t="s">
        <v>898</v>
      </c>
      <c r="G33" s="26">
        <v>-34.43</v>
      </c>
      <c r="H33" s="26">
        <v>5094.1553</v>
      </c>
      <c r="I33" s="26">
        <v>1.001</v>
      </c>
      <c r="J33" s="26">
        <v>5099.2546</v>
      </c>
      <c r="K33" s="26">
        <v>-5.0993</v>
      </c>
      <c r="L33" s="26">
        <v>0.0</v>
      </c>
    </row>
    <row r="34" ht="14.25" customHeight="1">
      <c r="A34" s="26" t="s">
        <v>1057</v>
      </c>
      <c r="B34" s="26" t="s">
        <v>894</v>
      </c>
      <c r="C34" s="26" t="s">
        <v>1058</v>
      </c>
      <c r="D34" s="26" t="s">
        <v>896</v>
      </c>
      <c r="E34" s="26" t="s">
        <v>930</v>
      </c>
      <c r="F34" s="26" t="s">
        <v>898</v>
      </c>
      <c r="G34" s="26">
        <v>-61.76</v>
      </c>
      <c r="H34" s="26">
        <v>5095.1752</v>
      </c>
      <c r="I34" s="26">
        <v>1.0008</v>
      </c>
      <c r="J34" s="26">
        <v>5099.2546</v>
      </c>
      <c r="K34" s="26">
        <v>-4.0794</v>
      </c>
      <c r="L34" s="26">
        <v>0.0</v>
      </c>
    </row>
    <row r="35" ht="14.25" customHeight="1">
      <c r="A35" s="26" t="s">
        <v>1057</v>
      </c>
      <c r="B35" s="26" t="s">
        <v>894</v>
      </c>
      <c r="C35" s="26" t="s">
        <v>1058</v>
      </c>
      <c r="D35" s="26" t="s">
        <v>896</v>
      </c>
      <c r="E35" s="26" t="s">
        <v>931</v>
      </c>
      <c r="F35" s="26" t="s">
        <v>898</v>
      </c>
      <c r="G35" s="26">
        <v>-55.91</v>
      </c>
      <c r="H35" s="26">
        <v>5095.1752</v>
      </c>
      <c r="I35" s="26">
        <v>1.0008</v>
      </c>
      <c r="J35" s="26">
        <v>5099.2546</v>
      </c>
      <c r="K35" s="26">
        <v>-4.0794</v>
      </c>
      <c r="L35" s="26">
        <v>0.0</v>
      </c>
    </row>
    <row r="36" ht="14.25" customHeight="1">
      <c r="A36" s="26" t="s">
        <v>1057</v>
      </c>
      <c r="B36" s="26" t="s">
        <v>894</v>
      </c>
      <c r="C36" s="26" t="s">
        <v>1058</v>
      </c>
      <c r="D36" s="26" t="s">
        <v>896</v>
      </c>
      <c r="E36" s="26" t="s">
        <v>932</v>
      </c>
      <c r="F36" s="26" t="s">
        <v>898</v>
      </c>
      <c r="G36" s="26">
        <v>0.0</v>
      </c>
      <c r="H36" s="26">
        <v>5055.9109</v>
      </c>
      <c r="I36" s="26">
        <v>1.0085</v>
      </c>
      <c r="J36" s="26">
        <v>5099.2546</v>
      </c>
      <c r="K36" s="26">
        <v>-43.3437</v>
      </c>
      <c r="L36" s="26">
        <v>0.0</v>
      </c>
    </row>
    <row r="37" ht="14.25" customHeight="1">
      <c r="A37" s="26" t="s">
        <v>1057</v>
      </c>
      <c r="B37" s="26" t="s">
        <v>894</v>
      </c>
      <c r="C37" s="26" t="s">
        <v>1058</v>
      </c>
      <c r="D37" s="26" t="s">
        <v>896</v>
      </c>
      <c r="E37" s="26" t="s">
        <v>933</v>
      </c>
      <c r="F37" s="26" t="s">
        <v>898</v>
      </c>
      <c r="G37" s="26">
        <v>0.0</v>
      </c>
      <c r="H37" s="26">
        <v>5099.2546</v>
      </c>
      <c r="I37" s="26">
        <v>1.0</v>
      </c>
      <c r="J37" s="26">
        <v>5099.2546</v>
      </c>
      <c r="K37" s="26">
        <v>0.0</v>
      </c>
      <c r="L37" s="26">
        <v>0.0</v>
      </c>
    </row>
    <row r="38" ht="14.25" customHeight="1">
      <c r="A38" s="26" t="s">
        <v>1057</v>
      </c>
      <c r="B38" s="26" t="s">
        <v>894</v>
      </c>
      <c r="C38" s="26" t="s">
        <v>1058</v>
      </c>
      <c r="D38" s="26" t="s">
        <v>896</v>
      </c>
      <c r="E38" s="26" t="s">
        <v>934</v>
      </c>
      <c r="F38" s="26" t="s">
        <v>898</v>
      </c>
      <c r="G38" s="26">
        <v>0.0</v>
      </c>
      <c r="H38" s="26">
        <v>5099.2546</v>
      </c>
      <c r="I38" s="26">
        <v>1.0</v>
      </c>
      <c r="J38" s="26">
        <v>5099.2546</v>
      </c>
      <c r="K38" s="26">
        <v>0.0</v>
      </c>
      <c r="L38" s="26">
        <v>0.0</v>
      </c>
    </row>
    <row r="39" ht="14.25" customHeight="1">
      <c r="A39" s="26" t="s">
        <v>1057</v>
      </c>
      <c r="B39" s="26" t="s">
        <v>894</v>
      </c>
      <c r="C39" s="26" t="s">
        <v>1058</v>
      </c>
      <c r="D39" s="26" t="s">
        <v>896</v>
      </c>
      <c r="E39" s="26" t="s">
        <v>935</v>
      </c>
      <c r="F39" s="26" t="s">
        <v>898</v>
      </c>
      <c r="G39" s="26">
        <v>0.0</v>
      </c>
      <c r="H39" s="26">
        <v>5087.5263</v>
      </c>
      <c r="I39" s="26">
        <v>1.0023</v>
      </c>
      <c r="J39" s="26">
        <v>5099.2546</v>
      </c>
      <c r="K39" s="26">
        <v>-11.7283</v>
      </c>
      <c r="L39" s="26">
        <v>0.0</v>
      </c>
    </row>
    <row r="40" ht="14.25" customHeight="1">
      <c r="A40" s="26" t="s">
        <v>1057</v>
      </c>
      <c r="B40" s="26" t="s">
        <v>894</v>
      </c>
      <c r="C40" s="26" t="s">
        <v>1058</v>
      </c>
      <c r="D40" s="26" t="s">
        <v>896</v>
      </c>
      <c r="E40" s="26" t="s">
        <v>936</v>
      </c>
      <c r="F40" s="26" t="s">
        <v>898</v>
      </c>
      <c r="G40" s="26">
        <v>-30.65</v>
      </c>
      <c r="H40" s="26">
        <v>5048.262</v>
      </c>
      <c r="I40" s="26">
        <v>1.0101</v>
      </c>
      <c r="J40" s="26">
        <v>5099.2546</v>
      </c>
      <c r="K40" s="26">
        <v>-50.9925</v>
      </c>
      <c r="L40" s="26">
        <v>0.0</v>
      </c>
    </row>
    <row r="41" ht="14.25" customHeight="1">
      <c r="A41" s="26" t="s">
        <v>1057</v>
      </c>
      <c r="B41" s="26" t="s">
        <v>894</v>
      </c>
      <c r="C41" s="26" t="s">
        <v>1058</v>
      </c>
      <c r="D41" s="26" t="s">
        <v>896</v>
      </c>
      <c r="E41" s="26" t="s">
        <v>937</v>
      </c>
      <c r="F41" s="26" t="s">
        <v>898</v>
      </c>
      <c r="G41" s="26">
        <v>0.0</v>
      </c>
      <c r="H41" s="26">
        <v>5099.2546</v>
      </c>
      <c r="I41" s="26">
        <v>1.0</v>
      </c>
      <c r="J41" s="26">
        <v>5099.2546</v>
      </c>
      <c r="K41" s="26">
        <v>0.0</v>
      </c>
      <c r="L41" s="26">
        <v>0.0</v>
      </c>
    </row>
    <row r="42" ht="14.25" customHeight="1">
      <c r="A42" s="26" t="s">
        <v>1057</v>
      </c>
      <c r="B42" s="26" t="s">
        <v>894</v>
      </c>
      <c r="C42" s="26" t="s">
        <v>1058</v>
      </c>
      <c r="D42" s="26" t="s">
        <v>896</v>
      </c>
      <c r="E42" s="26" t="s">
        <v>938</v>
      </c>
      <c r="F42" s="26" t="s">
        <v>898</v>
      </c>
      <c r="G42" s="26">
        <v>-13.54</v>
      </c>
      <c r="H42" s="26">
        <v>5100.7843</v>
      </c>
      <c r="I42" s="26">
        <v>0.9997</v>
      </c>
      <c r="J42" s="26">
        <v>5099.2546</v>
      </c>
      <c r="K42" s="26">
        <v>1.5298</v>
      </c>
      <c r="L42" s="26">
        <v>0.0</v>
      </c>
    </row>
    <row r="43" ht="14.25" customHeight="1">
      <c r="A43" s="26" t="s">
        <v>1057</v>
      </c>
      <c r="B43" s="26" t="s">
        <v>894</v>
      </c>
      <c r="C43" s="26" t="s">
        <v>1058</v>
      </c>
      <c r="D43" s="26" t="s">
        <v>896</v>
      </c>
      <c r="E43" s="26" t="s">
        <v>939</v>
      </c>
      <c r="F43" s="26" t="s">
        <v>898</v>
      </c>
      <c r="G43" s="26">
        <v>0.0</v>
      </c>
      <c r="H43" s="26">
        <v>5028.3749</v>
      </c>
      <c r="I43" s="26">
        <v>1.0141</v>
      </c>
      <c r="J43" s="26">
        <v>5099.2546</v>
      </c>
      <c r="K43" s="26">
        <v>-70.8796</v>
      </c>
      <c r="L43" s="26">
        <v>0.0</v>
      </c>
    </row>
    <row r="44" ht="14.25" customHeight="1">
      <c r="A44" s="26" t="s">
        <v>1057</v>
      </c>
      <c r="B44" s="26" t="s">
        <v>894</v>
      </c>
      <c r="C44" s="26" t="s">
        <v>1058</v>
      </c>
      <c r="D44" s="26" t="s">
        <v>896</v>
      </c>
      <c r="E44" s="26" t="s">
        <v>940</v>
      </c>
      <c r="F44" s="26" t="s">
        <v>898</v>
      </c>
      <c r="G44" s="26">
        <v>-40.37</v>
      </c>
      <c r="H44" s="26">
        <v>5046.7322</v>
      </c>
      <c r="I44" s="26">
        <v>1.0104</v>
      </c>
      <c r="J44" s="26">
        <v>5099.2546</v>
      </c>
      <c r="K44" s="26">
        <v>-52.5223</v>
      </c>
      <c r="L44" s="26">
        <v>0.0</v>
      </c>
    </row>
    <row r="45" ht="14.25" customHeight="1">
      <c r="A45" s="26" t="s">
        <v>1057</v>
      </c>
      <c r="B45" s="26" t="s">
        <v>894</v>
      </c>
      <c r="C45" s="26" t="s">
        <v>1058</v>
      </c>
      <c r="D45" s="26" t="s">
        <v>896</v>
      </c>
      <c r="E45" s="26" t="s">
        <v>941</v>
      </c>
      <c r="F45" s="26" t="s">
        <v>898</v>
      </c>
      <c r="G45" s="26">
        <v>-23.61</v>
      </c>
      <c r="H45" s="26">
        <v>5046.7322</v>
      </c>
      <c r="I45" s="26">
        <v>1.0104</v>
      </c>
      <c r="J45" s="26">
        <v>5099.2546</v>
      </c>
      <c r="K45" s="26">
        <v>-52.5223</v>
      </c>
      <c r="L45" s="26">
        <v>0.0</v>
      </c>
    </row>
    <row r="46" ht="14.25" customHeight="1">
      <c r="A46" s="26" t="s">
        <v>1057</v>
      </c>
      <c r="B46" s="26" t="s">
        <v>894</v>
      </c>
      <c r="C46" s="26" t="s">
        <v>1058</v>
      </c>
      <c r="D46" s="26" t="s">
        <v>896</v>
      </c>
      <c r="E46" s="26" t="s">
        <v>942</v>
      </c>
      <c r="F46" s="26" t="s">
        <v>898</v>
      </c>
      <c r="G46" s="26">
        <v>0.0</v>
      </c>
      <c r="H46" s="26">
        <v>4862.6492</v>
      </c>
      <c r="I46" s="26">
        <v>1.0486</v>
      </c>
      <c r="J46" s="26">
        <v>5099.2546</v>
      </c>
      <c r="K46" s="26">
        <v>-236.6054</v>
      </c>
      <c r="L46" s="26">
        <v>0.0</v>
      </c>
    </row>
    <row r="47" ht="14.25" customHeight="1">
      <c r="A47" s="26" t="s">
        <v>1057</v>
      </c>
      <c r="B47" s="26" t="s">
        <v>894</v>
      </c>
      <c r="C47" s="26" t="s">
        <v>1058</v>
      </c>
      <c r="D47" s="26" t="s">
        <v>896</v>
      </c>
      <c r="E47" s="26" t="s">
        <v>943</v>
      </c>
      <c r="F47" s="26" t="s">
        <v>898</v>
      </c>
      <c r="G47" s="26">
        <v>-0.6</v>
      </c>
      <c r="H47" s="26">
        <v>5064.0697</v>
      </c>
      <c r="I47" s="26">
        <v>1.0069</v>
      </c>
      <c r="J47" s="26">
        <v>5099.2546</v>
      </c>
      <c r="K47" s="26">
        <v>-35.1849</v>
      </c>
      <c r="L47" s="26">
        <v>0.0</v>
      </c>
    </row>
    <row r="48" ht="14.25" customHeight="1">
      <c r="A48" s="26" t="s">
        <v>1057</v>
      </c>
      <c r="B48" s="26" t="s">
        <v>894</v>
      </c>
      <c r="C48" s="26" t="s">
        <v>1058</v>
      </c>
      <c r="D48" s="26" t="s">
        <v>896</v>
      </c>
      <c r="E48" s="26" t="s">
        <v>944</v>
      </c>
      <c r="F48" s="26" t="s">
        <v>898</v>
      </c>
      <c r="G48" s="26">
        <v>0.0</v>
      </c>
      <c r="H48" s="26">
        <v>5057.4407</v>
      </c>
      <c r="I48" s="26">
        <v>1.0083</v>
      </c>
      <c r="J48" s="26">
        <v>5099.2546</v>
      </c>
      <c r="K48" s="26">
        <v>-41.8139</v>
      </c>
      <c r="L48" s="26">
        <v>0.0</v>
      </c>
    </row>
    <row r="49" ht="14.25" customHeight="1">
      <c r="A49" s="26" t="s">
        <v>1057</v>
      </c>
      <c r="B49" s="26" t="s">
        <v>894</v>
      </c>
      <c r="C49" s="26" t="s">
        <v>1058</v>
      </c>
      <c r="D49" s="26" t="s">
        <v>896</v>
      </c>
      <c r="E49" s="26" t="s">
        <v>945</v>
      </c>
      <c r="F49" s="26" t="s">
        <v>898</v>
      </c>
      <c r="G49" s="26">
        <v>0.0</v>
      </c>
      <c r="H49" s="26">
        <v>5099.2546</v>
      </c>
      <c r="I49" s="26">
        <v>1.0</v>
      </c>
      <c r="J49" s="26">
        <v>5099.2546</v>
      </c>
      <c r="K49" s="26">
        <v>0.0</v>
      </c>
      <c r="L49" s="26">
        <v>0.0</v>
      </c>
    </row>
    <row r="50" ht="14.25" customHeight="1">
      <c r="A50" s="26" t="s">
        <v>1057</v>
      </c>
      <c r="B50" s="26" t="s">
        <v>894</v>
      </c>
      <c r="C50" s="26" t="s">
        <v>1058</v>
      </c>
      <c r="D50" s="26" t="s">
        <v>896</v>
      </c>
      <c r="E50" s="26" t="s">
        <v>946</v>
      </c>
      <c r="F50" s="26" t="s">
        <v>898</v>
      </c>
      <c r="G50" s="26">
        <v>-6.63</v>
      </c>
      <c r="H50" s="26">
        <v>5099.7645</v>
      </c>
      <c r="I50" s="26">
        <v>0.9999</v>
      </c>
      <c r="J50" s="26">
        <v>5099.2546</v>
      </c>
      <c r="K50" s="26">
        <v>0.5099</v>
      </c>
      <c r="L50" s="26">
        <v>0.0</v>
      </c>
    </row>
    <row r="51" ht="14.25" customHeight="1">
      <c r="A51" s="26" t="s">
        <v>1057</v>
      </c>
      <c r="B51" s="26" t="s">
        <v>894</v>
      </c>
      <c r="C51" s="26" t="s">
        <v>1058</v>
      </c>
      <c r="D51" s="26" t="s">
        <v>896</v>
      </c>
      <c r="E51" s="26" t="s">
        <v>947</v>
      </c>
      <c r="F51" s="26" t="s">
        <v>898</v>
      </c>
      <c r="G51" s="26">
        <v>0.0</v>
      </c>
      <c r="H51" s="26">
        <v>5112.5126</v>
      </c>
      <c r="I51" s="26">
        <v>0.9974</v>
      </c>
      <c r="J51" s="26">
        <v>5099.2546</v>
      </c>
      <c r="K51" s="26">
        <v>13.2581</v>
      </c>
      <c r="L51" s="26">
        <v>0.0</v>
      </c>
    </row>
    <row r="52" ht="14.25" customHeight="1">
      <c r="A52" s="26" t="s">
        <v>1057</v>
      </c>
      <c r="B52" s="26" t="s">
        <v>894</v>
      </c>
      <c r="C52" s="26" t="s">
        <v>1058</v>
      </c>
      <c r="D52" s="26" t="s">
        <v>896</v>
      </c>
      <c r="E52" s="26" t="s">
        <v>948</v>
      </c>
      <c r="F52" s="26" t="s">
        <v>898</v>
      </c>
      <c r="G52" s="26">
        <v>-99.01</v>
      </c>
      <c r="H52" s="26">
        <v>5114.0424</v>
      </c>
      <c r="I52" s="26">
        <v>0.9971</v>
      </c>
      <c r="J52" s="26">
        <v>5099.2546</v>
      </c>
      <c r="K52" s="26">
        <v>14.7878</v>
      </c>
      <c r="L52" s="26">
        <v>0.0</v>
      </c>
    </row>
    <row r="53" ht="14.25" customHeight="1">
      <c r="A53" s="26" t="s">
        <v>1057</v>
      </c>
      <c r="B53" s="26" t="s">
        <v>894</v>
      </c>
      <c r="C53" s="26" t="s">
        <v>1058</v>
      </c>
      <c r="D53" s="26" t="s">
        <v>896</v>
      </c>
      <c r="E53" s="26" t="s">
        <v>949</v>
      </c>
      <c r="F53" s="26" t="s">
        <v>898</v>
      </c>
      <c r="G53" s="26">
        <v>0.0</v>
      </c>
      <c r="H53" s="26">
        <v>5109.4531</v>
      </c>
      <c r="I53" s="26">
        <v>0.998</v>
      </c>
      <c r="J53" s="26">
        <v>5099.2546</v>
      </c>
      <c r="K53" s="26">
        <v>10.1985</v>
      </c>
      <c r="L53" s="26">
        <v>0.0</v>
      </c>
    </row>
    <row r="54" ht="14.25" customHeight="1">
      <c r="A54" s="26" t="s">
        <v>1057</v>
      </c>
      <c r="B54" s="26" t="s">
        <v>894</v>
      </c>
      <c r="C54" s="26" t="s">
        <v>1058</v>
      </c>
      <c r="D54" s="26" t="s">
        <v>896</v>
      </c>
      <c r="E54" s="26" t="s">
        <v>950</v>
      </c>
      <c r="F54" s="26" t="s">
        <v>898</v>
      </c>
      <c r="G54" s="26">
        <v>-9.79</v>
      </c>
      <c r="H54" s="26">
        <v>5112.0027</v>
      </c>
      <c r="I54" s="26">
        <v>0.9975</v>
      </c>
      <c r="J54" s="26">
        <v>5099.2546</v>
      </c>
      <c r="K54" s="26">
        <v>12.7481</v>
      </c>
      <c r="L54" s="26">
        <v>0.0</v>
      </c>
    </row>
    <row r="55" ht="14.25" customHeight="1">
      <c r="A55" s="26" t="s">
        <v>1057</v>
      </c>
      <c r="B55" s="26" t="s">
        <v>894</v>
      </c>
      <c r="C55" s="26" t="s">
        <v>1058</v>
      </c>
      <c r="D55" s="26" t="s">
        <v>896</v>
      </c>
      <c r="E55" s="26" t="s">
        <v>951</v>
      </c>
      <c r="F55" s="26" t="s">
        <v>898</v>
      </c>
      <c r="G55" s="26">
        <v>0.0</v>
      </c>
      <c r="H55" s="26">
        <v>5099.2546</v>
      </c>
      <c r="I55" s="26">
        <v>1.0</v>
      </c>
      <c r="J55" s="26">
        <v>5099.2546</v>
      </c>
      <c r="K55" s="26">
        <v>0.0</v>
      </c>
      <c r="L55" s="26">
        <v>0.0</v>
      </c>
    </row>
    <row r="56" ht="14.25" customHeight="1">
      <c r="A56" s="26" t="s">
        <v>1057</v>
      </c>
      <c r="B56" s="26" t="s">
        <v>894</v>
      </c>
      <c r="C56" s="26" t="s">
        <v>1058</v>
      </c>
      <c r="D56" s="26" t="s">
        <v>896</v>
      </c>
      <c r="E56" s="26" t="s">
        <v>952</v>
      </c>
      <c r="F56" s="26" t="s">
        <v>898</v>
      </c>
      <c r="G56" s="26">
        <v>-7.61</v>
      </c>
      <c r="H56" s="26">
        <v>5112.0027</v>
      </c>
      <c r="I56" s="26">
        <v>0.9975</v>
      </c>
      <c r="J56" s="26">
        <v>5099.2546</v>
      </c>
      <c r="K56" s="26">
        <v>12.7481</v>
      </c>
      <c r="L56" s="26">
        <v>0.0</v>
      </c>
    </row>
    <row r="57" ht="14.25" customHeight="1">
      <c r="A57" s="26" t="s">
        <v>1057</v>
      </c>
      <c r="B57" s="26" t="s">
        <v>894</v>
      </c>
      <c r="C57" s="26" t="s">
        <v>1058</v>
      </c>
      <c r="D57" s="26" t="s">
        <v>896</v>
      </c>
      <c r="E57" s="26" t="s">
        <v>953</v>
      </c>
      <c r="F57" s="26" t="s">
        <v>898</v>
      </c>
      <c r="G57" s="26">
        <v>-56.24</v>
      </c>
      <c r="H57" s="26">
        <v>5112.0027</v>
      </c>
      <c r="I57" s="26">
        <v>0.9975</v>
      </c>
      <c r="J57" s="26">
        <v>5099.2546</v>
      </c>
      <c r="K57" s="26">
        <v>12.7481</v>
      </c>
      <c r="L57" s="26">
        <v>0.0</v>
      </c>
    </row>
    <row r="58" ht="14.25" customHeight="1">
      <c r="A58" s="26" t="s">
        <v>1057</v>
      </c>
      <c r="B58" s="26" t="s">
        <v>894</v>
      </c>
      <c r="C58" s="26" t="s">
        <v>1058</v>
      </c>
      <c r="D58" s="26" t="s">
        <v>896</v>
      </c>
      <c r="E58" s="26" t="s">
        <v>954</v>
      </c>
      <c r="F58" s="26" t="s">
        <v>898</v>
      </c>
      <c r="G58" s="26">
        <v>0.0</v>
      </c>
      <c r="H58" s="26">
        <v>5099.2546</v>
      </c>
      <c r="I58" s="26">
        <v>1.0</v>
      </c>
      <c r="J58" s="26">
        <v>5099.2546</v>
      </c>
      <c r="K58" s="26">
        <v>0.0</v>
      </c>
      <c r="L58" s="26">
        <v>0.0</v>
      </c>
    </row>
    <row r="59" ht="14.25" customHeight="1">
      <c r="A59" s="26" t="s">
        <v>1057</v>
      </c>
      <c r="B59" s="26" t="s">
        <v>894</v>
      </c>
      <c r="C59" s="26" t="s">
        <v>1058</v>
      </c>
      <c r="D59" s="26" t="s">
        <v>896</v>
      </c>
      <c r="E59" s="26" t="s">
        <v>955</v>
      </c>
      <c r="F59" s="26" t="s">
        <v>898</v>
      </c>
      <c r="G59" s="26">
        <v>0.0</v>
      </c>
      <c r="H59" s="26">
        <v>5099.2546</v>
      </c>
      <c r="I59" s="26">
        <v>1.0</v>
      </c>
      <c r="J59" s="26">
        <v>5099.2546</v>
      </c>
      <c r="K59" s="26">
        <v>0.0</v>
      </c>
      <c r="L59" s="26">
        <v>0.0</v>
      </c>
    </row>
    <row r="60" ht="14.25" customHeight="1">
      <c r="A60" s="26" t="s">
        <v>1057</v>
      </c>
      <c r="B60" s="26" t="s">
        <v>894</v>
      </c>
      <c r="C60" s="26" t="s">
        <v>1058</v>
      </c>
      <c r="D60" s="26" t="s">
        <v>896</v>
      </c>
      <c r="E60" s="26" t="s">
        <v>956</v>
      </c>
      <c r="F60" s="26" t="s">
        <v>898</v>
      </c>
      <c r="G60" s="26">
        <v>-58.84</v>
      </c>
      <c r="H60" s="26">
        <v>5117.6119</v>
      </c>
      <c r="I60" s="26">
        <v>0.9964</v>
      </c>
      <c r="J60" s="26">
        <v>5099.2546</v>
      </c>
      <c r="K60" s="26">
        <v>18.3573</v>
      </c>
      <c r="L60" s="26">
        <v>0.0</v>
      </c>
    </row>
    <row r="61" ht="14.25" customHeight="1">
      <c r="A61" s="26" t="s">
        <v>1057</v>
      </c>
      <c r="B61" s="26" t="s">
        <v>894</v>
      </c>
      <c r="C61" s="26" t="s">
        <v>1058</v>
      </c>
      <c r="D61" s="26" t="s">
        <v>896</v>
      </c>
      <c r="E61" s="26" t="s">
        <v>957</v>
      </c>
      <c r="F61" s="26" t="s">
        <v>898</v>
      </c>
      <c r="G61" s="26">
        <v>-61.28</v>
      </c>
      <c r="H61" s="26">
        <v>5099.2546</v>
      </c>
      <c r="I61" s="26">
        <v>1.0</v>
      </c>
      <c r="J61" s="26">
        <v>5099.2546</v>
      </c>
      <c r="K61" s="26">
        <v>0.0</v>
      </c>
      <c r="L61" s="26">
        <v>0.0</v>
      </c>
    </row>
    <row r="62" ht="14.25" customHeight="1">
      <c r="A62" s="26" t="s">
        <v>1057</v>
      </c>
      <c r="B62" s="26" t="s">
        <v>894</v>
      </c>
      <c r="C62" s="26" t="s">
        <v>1058</v>
      </c>
      <c r="D62" s="26" t="s">
        <v>896</v>
      </c>
      <c r="E62" s="26" t="s">
        <v>958</v>
      </c>
      <c r="F62" s="26" t="s">
        <v>898</v>
      </c>
      <c r="G62" s="26">
        <v>-48.42</v>
      </c>
      <c r="H62" s="26">
        <v>5099.2546</v>
      </c>
      <c r="I62" s="26">
        <v>1.0</v>
      </c>
      <c r="J62" s="26">
        <v>5099.2546</v>
      </c>
      <c r="K62" s="26">
        <v>0.0</v>
      </c>
      <c r="L62" s="26">
        <v>0.0</v>
      </c>
    </row>
    <row r="63" ht="14.25" customHeight="1">
      <c r="A63" s="26" t="s">
        <v>1057</v>
      </c>
      <c r="B63" s="26" t="s">
        <v>894</v>
      </c>
      <c r="C63" s="26" t="s">
        <v>1058</v>
      </c>
      <c r="D63" s="26" t="s">
        <v>896</v>
      </c>
      <c r="E63" s="26" t="s">
        <v>959</v>
      </c>
      <c r="F63" s="26" t="s">
        <v>898</v>
      </c>
      <c r="G63" s="26">
        <v>-95.64</v>
      </c>
      <c r="H63" s="26">
        <v>5111.4928</v>
      </c>
      <c r="I63" s="26">
        <v>0.9976</v>
      </c>
      <c r="J63" s="26">
        <v>5099.2546</v>
      </c>
      <c r="K63" s="26">
        <v>12.2382</v>
      </c>
      <c r="L63" s="26">
        <v>0.0</v>
      </c>
    </row>
    <row r="64" ht="14.25" customHeight="1">
      <c r="A64" s="26" t="s">
        <v>1057</v>
      </c>
      <c r="B64" s="26" t="s">
        <v>894</v>
      </c>
      <c r="C64" s="26" t="s">
        <v>1058</v>
      </c>
      <c r="D64" s="26" t="s">
        <v>896</v>
      </c>
      <c r="E64" s="26" t="s">
        <v>960</v>
      </c>
      <c r="F64" s="26" t="s">
        <v>898</v>
      </c>
      <c r="G64" s="26">
        <v>-3.61</v>
      </c>
      <c r="H64" s="26">
        <v>5035.5139</v>
      </c>
      <c r="I64" s="26">
        <v>1.0127</v>
      </c>
      <c r="J64" s="26">
        <v>5099.2546</v>
      </c>
      <c r="K64" s="26">
        <v>-63.7407</v>
      </c>
      <c r="L64" s="26">
        <v>0.0</v>
      </c>
    </row>
    <row r="65" ht="14.25" customHeight="1">
      <c r="A65" s="26" t="s">
        <v>1057</v>
      </c>
      <c r="B65" s="26" t="s">
        <v>894</v>
      </c>
      <c r="C65" s="26" t="s">
        <v>1058</v>
      </c>
      <c r="D65" s="26" t="s">
        <v>896</v>
      </c>
      <c r="E65" s="26" t="s">
        <v>961</v>
      </c>
      <c r="F65" s="26" t="s">
        <v>898</v>
      </c>
      <c r="G65" s="26">
        <v>0.0</v>
      </c>
      <c r="H65" s="26">
        <v>5099.2546</v>
      </c>
      <c r="I65" s="26">
        <v>1.0</v>
      </c>
      <c r="J65" s="26">
        <v>5099.2546</v>
      </c>
      <c r="K65" s="26">
        <v>0.0</v>
      </c>
      <c r="L65" s="26">
        <v>0.0</v>
      </c>
    </row>
    <row r="66" ht="14.25" customHeight="1">
      <c r="A66" s="26" t="s">
        <v>1057</v>
      </c>
      <c r="B66" s="26" t="s">
        <v>894</v>
      </c>
      <c r="C66" s="26" t="s">
        <v>1058</v>
      </c>
      <c r="D66" s="26" t="s">
        <v>896</v>
      </c>
      <c r="E66" s="26" t="s">
        <v>962</v>
      </c>
      <c r="F66" s="26" t="s">
        <v>898</v>
      </c>
      <c r="G66" s="26">
        <v>-0.01</v>
      </c>
      <c r="H66" s="26">
        <v>5035.5139</v>
      </c>
      <c r="I66" s="26">
        <v>1.0127</v>
      </c>
      <c r="J66" s="26">
        <v>5099.2546</v>
      </c>
      <c r="K66" s="26">
        <v>-63.7407</v>
      </c>
      <c r="L66" s="26">
        <v>0.0</v>
      </c>
    </row>
    <row r="67" ht="14.25" customHeight="1">
      <c r="A67" s="26" t="s">
        <v>1057</v>
      </c>
      <c r="B67" s="26" t="s">
        <v>894</v>
      </c>
      <c r="C67" s="26" t="s">
        <v>1058</v>
      </c>
      <c r="D67" s="26" t="s">
        <v>896</v>
      </c>
      <c r="E67" s="26" t="s">
        <v>963</v>
      </c>
      <c r="F67" s="26" t="s">
        <v>898</v>
      </c>
      <c r="G67" s="26">
        <v>0.0</v>
      </c>
      <c r="H67" s="26">
        <v>5055.9109</v>
      </c>
      <c r="I67" s="26">
        <v>1.0085</v>
      </c>
      <c r="J67" s="26">
        <v>5099.2546</v>
      </c>
      <c r="K67" s="26">
        <v>-43.3437</v>
      </c>
      <c r="L67" s="26">
        <v>0.0</v>
      </c>
    </row>
    <row r="68" ht="14.25" customHeight="1">
      <c r="A68" s="26" t="s">
        <v>1057</v>
      </c>
      <c r="B68" s="26" t="s">
        <v>894</v>
      </c>
      <c r="C68" s="26" t="s">
        <v>1058</v>
      </c>
      <c r="D68" s="26" t="s">
        <v>896</v>
      </c>
      <c r="E68" s="26" t="s">
        <v>964</v>
      </c>
      <c r="F68" s="26" t="s">
        <v>898</v>
      </c>
      <c r="G68" s="26">
        <v>0.0</v>
      </c>
      <c r="H68" s="26">
        <v>5055.401</v>
      </c>
      <c r="I68" s="26">
        <v>1.0086</v>
      </c>
      <c r="J68" s="26">
        <v>5099.2546</v>
      </c>
      <c r="K68" s="26">
        <v>-43.8536</v>
      </c>
      <c r="L68" s="26">
        <v>0.0</v>
      </c>
    </row>
    <row r="69" ht="14.25" customHeight="1">
      <c r="A69" s="26" t="s">
        <v>1057</v>
      </c>
      <c r="B69" s="26" t="s">
        <v>894</v>
      </c>
      <c r="C69" s="26" t="s">
        <v>1058</v>
      </c>
      <c r="D69" s="26" t="s">
        <v>896</v>
      </c>
      <c r="E69" s="26" t="s">
        <v>965</v>
      </c>
      <c r="F69" s="26" t="s">
        <v>898</v>
      </c>
      <c r="G69" s="26">
        <v>-17.83</v>
      </c>
      <c r="H69" s="26">
        <v>5055.9109</v>
      </c>
      <c r="I69" s="26">
        <v>1.0085</v>
      </c>
      <c r="J69" s="26">
        <v>5099.2546</v>
      </c>
      <c r="K69" s="26">
        <v>-43.3437</v>
      </c>
      <c r="L69" s="26">
        <v>0.0</v>
      </c>
    </row>
    <row r="70" ht="14.25" customHeight="1">
      <c r="A70" s="26" t="s">
        <v>1057</v>
      </c>
      <c r="B70" s="26" t="s">
        <v>894</v>
      </c>
      <c r="C70" s="26" t="s">
        <v>1058</v>
      </c>
      <c r="D70" s="26" t="s">
        <v>896</v>
      </c>
      <c r="E70" s="26" t="s">
        <v>966</v>
      </c>
      <c r="F70" s="26" t="s">
        <v>898</v>
      </c>
      <c r="G70" s="26">
        <v>-26.33</v>
      </c>
      <c r="H70" s="26">
        <v>4865.7087</v>
      </c>
      <c r="I70" s="26">
        <v>1.048</v>
      </c>
      <c r="J70" s="26">
        <v>5099.2546</v>
      </c>
      <c r="K70" s="26">
        <v>-233.5459</v>
      </c>
      <c r="L70" s="26">
        <v>0.0</v>
      </c>
    </row>
    <row r="71" ht="14.25" customHeight="1">
      <c r="A71" s="26" t="s">
        <v>1057</v>
      </c>
      <c r="B71" s="26" t="s">
        <v>894</v>
      </c>
      <c r="C71" s="26" t="s">
        <v>1058</v>
      </c>
      <c r="D71" s="26" t="s">
        <v>896</v>
      </c>
      <c r="E71" s="26" t="s">
        <v>967</v>
      </c>
      <c r="F71" s="26" t="s">
        <v>898</v>
      </c>
      <c r="G71" s="26">
        <v>-17.63</v>
      </c>
      <c r="H71" s="26">
        <v>5067.6392</v>
      </c>
      <c r="I71" s="26">
        <v>1.0063</v>
      </c>
      <c r="J71" s="26">
        <v>5099.2546</v>
      </c>
      <c r="K71" s="26">
        <v>-31.6154</v>
      </c>
      <c r="L71" s="26">
        <v>0.0</v>
      </c>
    </row>
    <row r="72" ht="14.25" customHeight="1">
      <c r="A72" s="26" t="s">
        <v>1057</v>
      </c>
      <c r="B72" s="26" t="s">
        <v>894</v>
      </c>
      <c r="C72" s="26" t="s">
        <v>1058</v>
      </c>
      <c r="D72" s="26" t="s">
        <v>896</v>
      </c>
      <c r="E72" s="26" t="s">
        <v>968</v>
      </c>
      <c r="F72" s="26" t="s">
        <v>898</v>
      </c>
      <c r="G72" s="26">
        <v>-4.73</v>
      </c>
      <c r="H72" s="26">
        <v>5068.659</v>
      </c>
      <c r="I72" s="26">
        <v>1.006</v>
      </c>
      <c r="J72" s="26">
        <v>5099.2546</v>
      </c>
      <c r="K72" s="26">
        <v>-30.5955</v>
      </c>
      <c r="L72" s="26">
        <v>0.0</v>
      </c>
    </row>
    <row r="73" ht="14.25" customHeight="1">
      <c r="A73" s="26" t="s">
        <v>1057</v>
      </c>
      <c r="B73" s="26" t="s">
        <v>894</v>
      </c>
      <c r="C73" s="26" t="s">
        <v>1058</v>
      </c>
      <c r="D73" s="26" t="s">
        <v>896</v>
      </c>
      <c r="E73" s="26" t="s">
        <v>969</v>
      </c>
      <c r="F73" s="26" t="s">
        <v>898</v>
      </c>
      <c r="G73" s="26">
        <v>0.0</v>
      </c>
      <c r="H73" s="26">
        <v>5055.9109</v>
      </c>
      <c r="I73" s="26">
        <v>1.0086</v>
      </c>
      <c r="J73" s="26">
        <v>5099.2546</v>
      </c>
      <c r="K73" s="26">
        <v>-43.3437</v>
      </c>
      <c r="L73" s="26">
        <v>0.0</v>
      </c>
    </row>
    <row r="74" ht="14.25" customHeight="1">
      <c r="A74" s="26" t="s">
        <v>1057</v>
      </c>
      <c r="B74" s="26" t="s">
        <v>894</v>
      </c>
      <c r="C74" s="26" t="s">
        <v>1058</v>
      </c>
      <c r="D74" s="26" t="s">
        <v>896</v>
      </c>
      <c r="E74" s="26" t="s">
        <v>970</v>
      </c>
      <c r="F74" s="26" t="s">
        <v>898</v>
      </c>
      <c r="G74" s="26">
        <v>-41.02</v>
      </c>
      <c r="H74" s="26">
        <v>5071.7186</v>
      </c>
      <c r="I74" s="26">
        <v>1.0054</v>
      </c>
      <c r="J74" s="26">
        <v>5099.2546</v>
      </c>
      <c r="K74" s="26">
        <v>-27.536</v>
      </c>
      <c r="L74" s="26">
        <v>0.0</v>
      </c>
    </row>
    <row r="75" ht="14.25" customHeight="1">
      <c r="A75" s="26" t="s">
        <v>1057</v>
      </c>
      <c r="B75" s="26" t="s">
        <v>894</v>
      </c>
      <c r="C75" s="26" t="s">
        <v>1058</v>
      </c>
      <c r="D75" s="26" t="s">
        <v>896</v>
      </c>
      <c r="E75" s="26" t="s">
        <v>971</v>
      </c>
      <c r="F75" s="26" t="s">
        <v>898</v>
      </c>
      <c r="G75" s="26">
        <v>-43.76</v>
      </c>
      <c r="H75" s="26">
        <v>5071.7186</v>
      </c>
      <c r="I75" s="26">
        <v>1.0054</v>
      </c>
      <c r="J75" s="26">
        <v>5099.2546</v>
      </c>
      <c r="K75" s="26">
        <v>-27.536</v>
      </c>
      <c r="L75" s="26">
        <v>0.0</v>
      </c>
    </row>
    <row r="76" ht="14.25" customHeight="1">
      <c r="A76" s="26" t="s">
        <v>1057</v>
      </c>
      <c r="B76" s="26" t="s">
        <v>894</v>
      </c>
      <c r="C76" s="26" t="s">
        <v>1058</v>
      </c>
      <c r="D76" s="26" t="s">
        <v>896</v>
      </c>
      <c r="E76" s="26" t="s">
        <v>972</v>
      </c>
      <c r="F76" s="26" t="s">
        <v>898</v>
      </c>
      <c r="G76" s="26">
        <v>-0.12</v>
      </c>
      <c r="H76" s="26">
        <v>5071.7186</v>
      </c>
      <c r="I76" s="26">
        <v>1.0054</v>
      </c>
      <c r="J76" s="26">
        <v>5099.2546</v>
      </c>
      <c r="K76" s="26">
        <v>-27.536</v>
      </c>
      <c r="L76" s="26">
        <v>0.0</v>
      </c>
    </row>
    <row r="77" ht="14.25" customHeight="1">
      <c r="A77" s="26" t="s">
        <v>1057</v>
      </c>
      <c r="B77" s="26" t="s">
        <v>894</v>
      </c>
      <c r="C77" s="26" t="s">
        <v>1058</v>
      </c>
      <c r="D77" s="26" t="s">
        <v>896</v>
      </c>
      <c r="E77" s="26" t="s">
        <v>973</v>
      </c>
      <c r="F77" s="26" t="s">
        <v>898</v>
      </c>
      <c r="G77" s="26">
        <v>0.0</v>
      </c>
      <c r="H77" s="26">
        <v>5071.7186</v>
      </c>
      <c r="I77" s="26">
        <v>1.0054</v>
      </c>
      <c r="J77" s="26">
        <v>5099.2546</v>
      </c>
      <c r="K77" s="26">
        <v>-27.536</v>
      </c>
      <c r="L77" s="26">
        <v>0.0</v>
      </c>
    </row>
    <row r="78" ht="14.25" customHeight="1">
      <c r="A78" s="26" t="s">
        <v>1057</v>
      </c>
      <c r="B78" s="26" t="s">
        <v>894</v>
      </c>
      <c r="C78" s="26" t="s">
        <v>1058</v>
      </c>
      <c r="D78" s="26" t="s">
        <v>896</v>
      </c>
      <c r="E78" s="26" t="s">
        <v>974</v>
      </c>
      <c r="F78" s="26" t="s">
        <v>898</v>
      </c>
      <c r="G78" s="26">
        <v>0.0</v>
      </c>
      <c r="H78" s="26">
        <v>5064.0697</v>
      </c>
      <c r="I78" s="26">
        <v>1.0069</v>
      </c>
      <c r="J78" s="26">
        <v>5099.2546</v>
      </c>
      <c r="K78" s="26">
        <v>-35.1849</v>
      </c>
      <c r="L78" s="26">
        <v>0.0</v>
      </c>
    </row>
    <row r="79" ht="14.25" customHeight="1">
      <c r="A79" s="26" t="s">
        <v>1057</v>
      </c>
      <c r="B79" s="26" t="s">
        <v>894</v>
      </c>
      <c r="C79" s="26" t="s">
        <v>1058</v>
      </c>
      <c r="D79" s="26" t="s">
        <v>896</v>
      </c>
      <c r="E79" s="26" t="s">
        <v>975</v>
      </c>
      <c r="F79" s="26" t="s">
        <v>898</v>
      </c>
      <c r="G79" s="26">
        <v>0.0</v>
      </c>
      <c r="H79" s="26">
        <v>5020.726</v>
      </c>
      <c r="I79" s="26">
        <v>1.0156</v>
      </c>
      <c r="J79" s="26">
        <v>5099.2546</v>
      </c>
      <c r="K79" s="26">
        <v>-78.5285</v>
      </c>
      <c r="L79" s="26">
        <v>0.0</v>
      </c>
    </row>
    <row r="80" ht="14.25" customHeight="1">
      <c r="A80" s="26" t="s">
        <v>1057</v>
      </c>
      <c r="B80" s="26" t="s">
        <v>894</v>
      </c>
      <c r="C80" s="26" t="s">
        <v>1058</v>
      </c>
      <c r="D80" s="26" t="s">
        <v>896</v>
      </c>
      <c r="E80" s="26" t="s">
        <v>976</v>
      </c>
      <c r="F80" s="26" t="s">
        <v>898</v>
      </c>
      <c r="G80" s="26">
        <v>-20.23</v>
      </c>
      <c r="H80" s="26">
        <v>5021.7459</v>
      </c>
      <c r="I80" s="26">
        <v>1.0155</v>
      </c>
      <c r="J80" s="26">
        <v>5099.2546</v>
      </c>
      <c r="K80" s="26">
        <v>-77.5087</v>
      </c>
      <c r="L80" s="26">
        <v>0.0</v>
      </c>
    </row>
    <row r="81" ht="14.25" customHeight="1">
      <c r="A81" s="26" t="s">
        <v>1057</v>
      </c>
      <c r="B81" s="26" t="s">
        <v>894</v>
      </c>
      <c r="C81" s="26" t="s">
        <v>1058</v>
      </c>
      <c r="D81" s="26" t="s">
        <v>896</v>
      </c>
      <c r="E81" s="26" t="s">
        <v>977</v>
      </c>
      <c r="F81" s="26" t="s">
        <v>898</v>
      </c>
      <c r="G81" s="26">
        <v>-50.56</v>
      </c>
      <c r="H81" s="26">
        <v>5021.7459</v>
      </c>
      <c r="I81" s="26">
        <v>1.0155</v>
      </c>
      <c r="J81" s="26">
        <v>5099.2546</v>
      </c>
      <c r="K81" s="26">
        <v>-77.5087</v>
      </c>
      <c r="L81" s="26">
        <v>0.0</v>
      </c>
    </row>
    <row r="82" ht="14.25" customHeight="1">
      <c r="A82" s="26" t="s">
        <v>1057</v>
      </c>
      <c r="B82" s="26" t="s">
        <v>894</v>
      </c>
      <c r="C82" s="26" t="s">
        <v>1058</v>
      </c>
      <c r="D82" s="26" t="s">
        <v>896</v>
      </c>
      <c r="E82" s="26" t="s">
        <v>978</v>
      </c>
      <c r="F82" s="26" t="s">
        <v>898</v>
      </c>
      <c r="G82" s="26">
        <v>0.0</v>
      </c>
      <c r="H82" s="26">
        <v>5115.0623</v>
      </c>
      <c r="I82" s="26">
        <v>0.9969</v>
      </c>
      <c r="J82" s="26">
        <v>5099.2546</v>
      </c>
      <c r="K82" s="26">
        <v>15.8077</v>
      </c>
      <c r="L82" s="26">
        <v>0.0</v>
      </c>
    </row>
    <row r="83" ht="14.25" customHeight="1">
      <c r="A83" s="26" t="s">
        <v>1057</v>
      </c>
      <c r="B83" s="26" t="s">
        <v>894</v>
      </c>
      <c r="C83" s="26" t="s">
        <v>1058</v>
      </c>
      <c r="D83" s="26" t="s">
        <v>896</v>
      </c>
      <c r="E83" s="26" t="s">
        <v>979</v>
      </c>
      <c r="F83" s="26" t="s">
        <v>898</v>
      </c>
      <c r="G83" s="26">
        <v>-47.83</v>
      </c>
      <c r="H83" s="26">
        <v>5115.0623</v>
      </c>
      <c r="I83" s="26">
        <v>0.9969</v>
      </c>
      <c r="J83" s="26">
        <v>5099.2546</v>
      </c>
      <c r="K83" s="26">
        <v>15.8077</v>
      </c>
      <c r="L83" s="26">
        <v>0.0</v>
      </c>
    </row>
    <row r="84" ht="14.25" customHeight="1">
      <c r="A84" s="26" t="s">
        <v>1057</v>
      </c>
      <c r="B84" s="26" t="s">
        <v>894</v>
      </c>
      <c r="C84" s="26" t="s">
        <v>1058</v>
      </c>
      <c r="D84" s="26" t="s">
        <v>896</v>
      </c>
      <c r="E84" s="26" t="s">
        <v>980</v>
      </c>
      <c r="F84" s="26" t="s">
        <v>898</v>
      </c>
      <c r="G84" s="26">
        <v>-14.46</v>
      </c>
      <c r="H84" s="26">
        <v>5115.0623</v>
      </c>
      <c r="I84" s="26">
        <v>0.9969</v>
      </c>
      <c r="J84" s="26">
        <v>5099.2546</v>
      </c>
      <c r="K84" s="26">
        <v>15.8077</v>
      </c>
      <c r="L84" s="26">
        <v>0.0</v>
      </c>
    </row>
    <row r="85" ht="14.25" customHeight="1">
      <c r="A85" s="26" t="s">
        <v>1057</v>
      </c>
      <c r="B85" s="26" t="s">
        <v>894</v>
      </c>
      <c r="C85" s="26" t="s">
        <v>1058</v>
      </c>
      <c r="D85" s="26" t="s">
        <v>896</v>
      </c>
      <c r="E85" s="26" t="s">
        <v>981</v>
      </c>
      <c r="F85" s="26" t="s">
        <v>898</v>
      </c>
      <c r="G85" s="26">
        <v>-26.45</v>
      </c>
      <c r="H85" s="26">
        <v>5115.0623</v>
      </c>
      <c r="I85" s="26">
        <v>0.9969</v>
      </c>
      <c r="J85" s="26">
        <v>5099.2546</v>
      </c>
      <c r="K85" s="26">
        <v>15.8077</v>
      </c>
      <c r="L85" s="26">
        <v>0.0</v>
      </c>
    </row>
    <row r="86" ht="14.25" customHeight="1">
      <c r="A86" s="26" t="s">
        <v>1057</v>
      </c>
      <c r="B86" s="26" t="s">
        <v>894</v>
      </c>
      <c r="C86" s="26" t="s">
        <v>1058</v>
      </c>
      <c r="D86" s="26" t="s">
        <v>896</v>
      </c>
      <c r="E86" s="26" t="s">
        <v>982</v>
      </c>
      <c r="F86" s="26" t="s">
        <v>898</v>
      </c>
      <c r="G86" s="26">
        <v>-18.48</v>
      </c>
      <c r="H86" s="26">
        <v>5115.0623</v>
      </c>
      <c r="I86" s="26">
        <v>0.9969</v>
      </c>
      <c r="J86" s="26">
        <v>5099.2546</v>
      </c>
      <c r="K86" s="26">
        <v>15.8077</v>
      </c>
      <c r="L86" s="26">
        <v>0.0</v>
      </c>
    </row>
    <row r="87" ht="14.25" customHeight="1">
      <c r="A87" s="26" t="s">
        <v>1057</v>
      </c>
      <c r="B87" s="26" t="s">
        <v>894</v>
      </c>
      <c r="C87" s="26" t="s">
        <v>1058</v>
      </c>
      <c r="D87" s="26" t="s">
        <v>896</v>
      </c>
      <c r="E87" s="26" t="s">
        <v>983</v>
      </c>
      <c r="F87" s="26" t="s">
        <v>898</v>
      </c>
      <c r="G87" s="26">
        <v>0.0</v>
      </c>
      <c r="H87" s="26">
        <v>5115.0623</v>
      </c>
      <c r="I87" s="26">
        <v>0.9969</v>
      </c>
      <c r="J87" s="26">
        <v>5099.2546</v>
      </c>
      <c r="K87" s="26">
        <v>15.8077</v>
      </c>
      <c r="L87" s="26">
        <v>0.0</v>
      </c>
    </row>
    <row r="88" ht="14.25" customHeight="1">
      <c r="A88" s="26" t="s">
        <v>1057</v>
      </c>
      <c r="B88" s="26" t="s">
        <v>894</v>
      </c>
      <c r="C88" s="26" t="s">
        <v>1058</v>
      </c>
      <c r="D88" s="26" t="s">
        <v>896</v>
      </c>
      <c r="E88" s="26" t="s">
        <v>984</v>
      </c>
      <c r="F88" s="26" t="s">
        <v>898</v>
      </c>
      <c r="G88" s="26">
        <v>-41.47</v>
      </c>
      <c r="H88" s="26">
        <v>5115.0623</v>
      </c>
      <c r="I88" s="26">
        <v>0.9969</v>
      </c>
      <c r="J88" s="26">
        <v>5099.2546</v>
      </c>
      <c r="K88" s="26">
        <v>15.8077</v>
      </c>
      <c r="L88" s="26">
        <v>0.0</v>
      </c>
    </row>
    <row r="89" ht="14.25" customHeight="1">
      <c r="A89" s="26" t="s">
        <v>1057</v>
      </c>
      <c r="B89" s="26" t="s">
        <v>894</v>
      </c>
      <c r="C89" s="26" t="s">
        <v>1058</v>
      </c>
      <c r="D89" s="26" t="s">
        <v>896</v>
      </c>
      <c r="E89" s="26" t="s">
        <v>985</v>
      </c>
      <c r="F89" s="26" t="s">
        <v>898</v>
      </c>
      <c r="G89" s="26">
        <v>0.0</v>
      </c>
      <c r="H89" s="26">
        <v>5113.0226</v>
      </c>
      <c r="I89" s="26">
        <v>0.9973</v>
      </c>
      <c r="J89" s="26">
        <v>5099.2546</v>
      </c>
      <c r="K89" s="26">
        <v>13.768</v>
      </c>
      <c r="L89" s="26">
        <v>0.0</v>
      </c>
    </row>
    <row r="90" ht="14.25" customHeight="1">
      <c r="A90" s="26" t="s">
        <v>1057</v>
      </c>
      <c r="B90" s="26" t="s">
        <v>894</v>
      </c>
      <c r="C90" s="26" t="s">
        <v>1058</v>
      </c>
      <c r="D90" s="26" t="s">
        <v>896</v>
      </c>
      <c r="E90" s="26" t="s">
        <v>986</v>
      </c>
      <c r="F90" s="26" t="s">
        <v>898</v>
      </c>
      <c r="G90" s="26">
        <v>0.0</v>
      </c>
      <c r="H90" s="26">
        <v>5095.6851</v>
      </c>
      <c r="I90" s="26">
        <v>1.0007</v>
      </c>
      <c r="J90" s="26">
        <v>5099.2546</v>
      </c>
      <c r="K90" s="26">
        <v>-3.5695</v>
      </c>
      <c r="L90" s="26">
        <v>0.0</v>
      </c>
    </row>
    <row r="91" ht="14.25" customHeight="1">
      <c r="A91" s="26" t="s">
        <v>1057</v>
      </c>
      <c r="B91" s="26" t="s">
        <v>894</v>
      </c>
      <c r="C91" s="26" t="s">
        <v>1058</v>
      </c>
      <c r="D91" s="26" t="s">
        <v>896</v>
      </c>
      <c r="E91" s="26" t="s">
        <v>987</v>
      </c>
      <c r="F91" s="26" t="s">
        <v>898</v>
      </c>
      <c r="G91" s="26">
        <v>-11.24</v>
      </c>
      <c r="H91" s="26">
        <v>5095.6851</v>
      </c>
      <c r="I91" s="26">
        <v>1.0007</v>
      </c>
      <c r="J91" s="26">
        <v>5099.2546</v>
      </c>
      <c r="K91" s="26">
        <v>-3.5695</v>
      </c>
      <c r="L91" s="26">
        <v>0.0</v>
      </c>
    </row>
    <row r="92" ht="14.25" customHeight="1">
      <c r="A92" s="26" t="s">
        <v>1057</v>
      </c>
      <c r="B92" s="26" t="s">
        <v>894</v>
      </c>
      <c r="C92" s="26" t="s">
        <v>1058</v>
      </c>
      <c r="D92" s="26" t="s">
        <v>896</v>
      </c>
      <c r="E92" s="26" t="s">
        <v>988</v>
      </c>
      <c r="F92" s="26" t="s">
        <v>898</v>
      </c>
      <c r="G92" s="26">
        <v>-15.78</v>
      </c>
      <c r="H92" s="26">
        <v>5095.6851</v>
      </c>
      <c r="I92" s="26">
        <v>1.0007</v>
      </c>
      <c r="J92" s="26">
        <v>5099.2546</v>
      </c>
      <c r="K92" s="26">
        <v>-3.5695</v>
      </c>
      <c r="L92" s="26">
        <v>0.0</v>
      </c>
    </row>
    <row r="93" ht="14.25" customHeight="1">
      <c r="A93" s="26" t="s">
        <v>1057</v>
      </c>
      <c r="B93" s="26" t="s">
        <v>894</v>
      </c>
      <c r="C93" s="26" t="s">
        <v>1058</v>
      </c>
      <c r="D93" s="26" t="s">
        <v>896</v>
      </c>
      <c r="E93" s="26" t="s">
        <v>989</v>
      </c>
      <c r="F93" s="26" t="s">
        <v>898</v>
      </c>
      <c r="G93" s="26">
        <v>-10.37</v>
      </c>
      <c r="H93" s="26">
        <v>5095.6851</v>
      </c>
      <c r="I93" s="26">
        <v>1.0007</v>
      </c>
      <c r="J93" s="26">
        <v>5099.2546</v>
      </c>
      <c r="K93" s="26">
        <v>-3.5695</v>
      </c>
      <c r="L93" s="26">
        <v>0.0</v>
      </c>
    </row>
    <row r="94" ht="14.25" customHeight="1">
      <c r="A94" s="26" t="s">
        <v>1057</v>
      </c>
      <c r="B94" s="26" t="s">
        <v>894</v>
      </c>
      <c r="C94" s="26" t="s">
        <v>1058</v>
      </c>
      <c r="D94" s="26" t="s">
        <v>896</v>
      </c>
      <c r="E94" s="26" t="s">
        <v>990</v>
      </c>
      <c r="F94" s="26" t="s">
        <v>898</v>
      </c>
      <c r="G94" s="26">
        <v>0.0</v>
      </c>
      <c r="H94" s="26">
        <v>5095.6851</v>
      </c>
      <c r="I94" s="26">
        <v>1.0007</v>
      </c>
      <c r="J94" s="26">
        <v>5099.2546</v>
      </c>
      <c r="K94" s="26">
        <v>-3.5695</v>
      </c>
      <c r="L94" s="26">
        <v>0.0</v>
      </c>
    </row>
    <row r="95" ht="14.25" customHeight="1">
      <c r="A95" s="26" t="s">
        <v>1057</v>
      </c>
      <c r="B95" s="26" t="s">
        <v>894</v>
      </c>
      <c r="C95" s="26" t="s">
        <v>1058</v>
      </c>
      <c r="D95" s="26" t="s">
        <v>896</v>
      </c>
      <c r="E95" s="26" t="s">
        <v>991</v>
      </c>
      <c r="F95" s="26" t="s">
        <v>898</v>
      </c>
      <c r="G95" s="26">
        <v>0.0</v>
      </c>
      <c r="H95" s="26">
        <v>5080.8972</v>
      </c>
      <c r="I95" s="26">
        <v>1.0036</v>
      </c>
      <c r="J95" s="26">
        <v>5099.2546</v>
      </c>
      <c r="K95" s="26">
        <v>-18.3573</v>
      </c>
      <c r="L95" s="26">
        <v>0.0</v>
      </c>
    </row>
    <row r="96" ht="14.25" customHeight="1">
      <c r="A96" s="26" t="s">
        <v>1057</v>
      </c>
      <c r="B96" s="26" t="s">
        <v>894</v>
      </c>
      <c r="C96" s="26" t="s">
        <v>1058</v>
      </c>
      <c r="D96" s="26" t="s">
        <v>896</v>
      </c>
      <c r="E96" s="26" t="s">
        <v>992</v>
      </c>
      <c r="F96" s="26" t="s">
        <v>898</v>
      </c>
      <c r="G96" s="26">
        <v>-0.07</v>
      </c>
      <c r="H96" s="26">
        <v>5080.8972</v>
      </c>
      <c r="I96" s="26">
        <v>1.0036</v>
      </c>
      <c r="J96" s="26">
        <v>5099.2546</v>
      </c>
      <c r="K96" s="26">
        <v>-18.3573</v>
      </c>
      <c r="L96" s="26">
        <v>0.0</v>
      </c>
    </row>
    <row r="97" ht="14.25" customHeight="1">
      <c r="A97" s="26" t="s">
        <v>1057</v>
      </c>
      <c r="B97" s="26" t="s">
        <v>894</v>
      </c>
      <c r="C97" s="26" t="s">
        <v>1058</v>
      </c>
      <c r="D97" s="26" t="s">
        <v>896</v>
      </c>
      <c r="E97" s="26" t="s">
        <v>993</v>
      </c>
      <c r="F97" s="26" t="s">
        <v>898</v>
      </c>
      <c r="G97" s="26">
        <v>-0.04</v>
      </c>
      <c r="H97" s="26">
        <v>5102.3141</v>
      </c>
      <c r="I97" s="26">
        <v>0.9994</v>
      </c>
      <c r="J97" s="26">
        <v>5099.2546</v>
      </c>
      <c r="K97" s="26">
        <v>3.0596</v>
      </c>
      <c r="L97" s="26">
        <v>0.0</v>
      </c>
    </row>
    <row r="98" ht="14.25" customHeight="1">
      <c r="A98" s="26" t="s">
        <v>1057</v>
      </c>
      <c r="B98" s="26" t="s">
        <v>894</v>
      </c>
      <c r="C98" s="26" t="s">
        <v>1058</v>
      </c>
      <c r="D98" s="26" t="s">
        <v>896</v>
      </c>
      <c r="E98" s="26" t="s">
        <v>994</v>
      </c>
      <c r="F98" s="26" t="s">
        <v>898</v>
      </c>
      <c r="G98" s="26">
        <v>0.0</v>
      </c>
      <c r="H98" s="26">
        <v>5095.6851</v>
      </c>
      <c r="I98" s="26">
        <v>1.0007</v>
      </c>
      <c r="J98" s="26">
        <v>5099.2546</v>
      </c>
      <c r="K98" s="26">
        <v>-3.5695</v>
      </c>
      <c r="L98" s="26">
        <v>0.0</v>
      </c>
    </row>
    <row r="99" ht="14.25" customHeight="1">
      <c r="A99" s="26" t="s">
        <v>1057</v>
      </c>
      <c r="B99" s="26" t="s">
        <v>894</v>
      </c>
      <c r="C99" s="26" t="s">
        <v>1058</v>
      </c>
      <c r="D99" s="26" t="s">
        <v>896</v>
      </c>
      <c r="E99" s="26" t="s">
        <v>995</v>
      </c>
      <c r="F99" s="26" t="s">
        <v>898</v>
      </c>
      <c r="G99" s="26">
        <v>0.0</v>
      </c>
      <c r="H99" s="26">
        <v>5090.5858</v>
      </c>
      <c r="I99" s="26">
        <v>1.0017</v>
      </c>
      <c r="J99" s="26">
        <v>5099.2546</v>
      </c>
      <c r="K99" s="26">
        <v>-8.6687</v>
      </c>
      <c r="L99" s="26">
        <v>0.0</v>
      </c>
    </row>
    <row r="100" ht="14.25" customHeight="1">
      <c r="A100" s="26" t="s">
        <v>1057</v>
      </c>
      <c r="B100" s="26" t="s">
        <v>894</v>
      </c>
      <c r="C100" s="26" t="s">
        <v>1058</v>
      </c>
      <c r="D100" s="26" t="s">
        <v>896</v>
      </c>
      <c r="E100" s="26" t="s">
        <v>996</v>
      </c>
      <c r="F100" s="26" t="s">
        <v>898</v>
      </c>
      <c r="G100" s="26">
        <v>0.0</v>
      </c>
      <c r="H100" s="26">
        <v>5090.5858</v>
      </c>
      <c r="I100" s="26">
        <v>1.0017</v>
      </c>
      <c r="J100" s="26">
        <v>5099.2546</v>
      </c>
      <c r="K100" s="26">
        <v>-8.6687</v>
      </c>
      <c r="L100" s="26">
        <v>0.0</v>
      </c>
    </row>
    <row r="101" ht="14.25" customHeight="1">
      <c r="A101" s="26" t="s">
        <v>1057</v>
      </c>
      <c r="B101" s="26" t="s">
        <v>894</v>
      </c>
      <c r="C101" s="26" t="s">
        <v>1058</v>
      </c>
      <c r="D101" s="26" t="s">
        <v>896</v>
      </c>
      <c r="E101" s="26" t="s">
        <v>997</v>
      </c>
      <c r="F101" s="26" t="s">
        <v>898</v>
      </c>
      <c r="G101" s="26">
        <v>0.0</v>
      </c>
      <c r="H101" s="26">
        <v>5090.5858</v>
      </c>
      <c r="I101" s="26">
        <v>1.0017</v>
      </c>
      <c r="J101" s="26">
        <v>5099.2546</v>
      </c>
      <c r="K101" s="26">
        <v>-8.6687</v>
      </c>
      <c r="L101" s="26">
        <v>0.0</v>
      </c>
    </row>
    <row r="102" ht="14.25" customHeight="1">
      <c r="A102" s="26" t="s">
        <v>1057</v>
      </c>
      <c r="B102" s="26" t="s">
        <v>894</v>
      </c>
      <c r="C102" s="26" t="s">
        <v>1058</v>
      </c>
      <c r="D102" s="26" t="s">
        <v>896</v>
      </c>
      <c r="E102" s="26" t="s">
        <v>998</v>
      </c>
      <c r="F102" s="26" t="s">
        <v>898</v>
      </c>
      <c r="G102" s="26">
        <v>-13.6</v>
      </c>
      <c r="H102" s="26">
        <v>5087.5263</v>
      </c>
      <c r="I102" s="26">
        <v>1.0023</v>
      </c>
      <c r="J102" s="26">
        <v>5099.2546</v>
      </c>
      <c r="K102" s="26">
        <v>-11.7283</v>
      </c>
      <c r="L102" s="26">
        <v>0.0</v>
      </c>
    </row>
    <row r="103" ht="14.25" customHeight="1">
      <c r="A103" s="26" t="s">
        <v>1057</v>
      </c>
      <c r="B103" s="26" t="s">
        <v>894</v>
      </c>
      <c r="C103" s="26" t="s">
        <v>1058</v>
      </c>
      <c r="D103" s="26" t="s">
        <v>896</v>
      </c>
      <c r="E103" s="26" t="s">
        <v>999</v>
      </c>
      <c r="F103" s="26" t="s">
        <v>898</v>
      </c>
      <c r="G103" s="26">
        <v>-22.01</v>
      </c>
      <c r="H103" s="26">
        <v>5087.5263</v>
      </c>
      <c r="I103" s="26">
        <v>1.0023</v>
      </c>
      <c r="J103" s="26">
        <v>5099.2546</v>
      </c>
      <c r="K103" s="26">
        <v>-11.7283</v>
      </c>
      <c r="L103" s="26">
        <v>0.0</v>
      </c>
    </row>
    <row r="104" ht="14.25" customHeight="1">
      <c r="A104" s="26" t="s">
        <v>1057</v>
      </c>
      <c r="B104" s="26" t="s">
        <v>894</v>
      </c>
      <c r="C104" s="26" t="s">
        <v>1058</v>
      </c>
      <c r="D104" s="26" t="s">
        <v>896</v>
      </c>
      <c r="E104" s="26" t="s">
        <v>1000</v>
      </c>
      <c r="F104" s="26" t="s">
        <v>898</v>
      </c>
      <c r="G104" s="26">
        <v>0.0</v>
      </c>
      <c r="H104" s="26">
        <v>5059.4804</v>
      </c>
      <c r="I104" s="26">
        <v>1.0079</v>
      </c>
      <c r="J104" s="26">
        <v>5099.2546</v>
      </c>
      <c r="K104" s="26">
        <v>-39.7742</v>
      </c>
      <c r="L104" s="26">
        <v>0.0</v>
      </c>
    </row>
    <row r="105" ht="14.25" customHeight="1">
      <c r="A105" s="26" t="s">
        <v>1057</v>
      </c>
      <c r="B105" s="26" t="s">
        <v>894</v>
      </c>
      <c r="C105" s="26" t="s">
        <v>1058</v>
      </c>
      <c r="D105" s="26" t="s">
        <v>896</v>
      </c>
      <c r="E105" s="26" t="s">
        <v>1001</v>
      </c>
      <c r="F105" s="26" t="s">
        <v>898</v>
      </c>
      <c r="G105" s="26">
        <v>-9.52</v>
      </c>
      <c r="H105" s="26">
        <v>5059.4804</v>
      </c>
      <c r="I105" s="26">
        <v>1.0079</v>
      </c>
      <c r="J105" s="26">
        <v>5099.2546</v>
      </c>
      <c r="K105" s="26">
        <v>-39.7742</v>
      </c>
      <c r="L105" s="26">
        <v>0.0</v>
      </c>
    </row>
    <row r="106" ht="14.25" customHeight="1">
      <c r="A106" s="26" t="s">
        <v>1057</v>
      </c>
      <c r="B106" s="26" t="s">
        <v>894</v>
      </c>
      <c r="C106" s="26" t="s">
        <v>1058</v>
      </c>
      <c r="D106" s="26" t="s">
        <v>896</v>
      </c>
      <c r="E106" s="26" t="s">
        <v>1002</v>
      </c>
      <c r="F106" s="26" t="s">
        <v>898</v>
      </c>
      <c r="G106" s="26">
        <v>0.0</v>
      </c>
      <c r="H106" s="26">
        <v>5059.4804</v>
      </c>
      <c r="I106" s="26">
        <v>1.0079</v>
      </c>
      <c r="J106" s="26">
        <v>5099.2546</v>
      </c>
      <c r="K106" s="26">
        <v>-39.7742</v>
      </c>
      <c r="L106" s="26">
        <v>0.0</v>
      </c>
    </row>
    <row r="107" ht="14.25" customHeight="1">
      <c r="A107" s="26" t="s">
        <v>1057</v>
      </c>
      <c r="B107" s="26" t="s">
        <v>894</v>
      </c>
      <c r="C107" s="26" t="s">
        <v>1058</v>
      </c>
      <c r="D107" s="26" t="s">
        <v>896</v>
      </c>
      <c r="E107" s="26" t="s">
        <v>1003</v>
      </c>
      <c r="F107" s="26" t="s">
        <v>898</v>
      </c>
      <c r="G107" s="26">
        <v>-4.52</v>
      </c>
      <c r="H107" s="26">
        <v>5001.3489</v>
      </c>
      <c r="I107" s="26">
        <v>1.0196</v>
      </c>
      <c r="J107" s="26">
        <v>5099.2546</v>
      </c>
      <c r="K107" s="26">
        <v>-97.9057</v>
      </c>
      <c r="L107" s="26">
        <v>0.0</v>
      </c>
    </row>
    <row r="108" ht="14.25" customHeight="1">
      <c r="A108" s="26" t="s">
        <v>1057</v>
      </c>
      <c r="B108" s="26" t="s">
        <v>894</v>
      </c>
      <c r="C108" s="26" t="s">
        <v>1058</v>
      </c>
      <c r="D108" s="26" t="s">
        <v>896</v>
      </c>
      <c r="E108" s="26" t="s">
        <v>1004</v>
      </c>
      <c r="F108" s="26" t="s">
        <v>898</v>
      </c>
      <c r="G108" s="26">
        <v>-6.95</v>
      </c>
      <c r="H108" s="26">
        <v>4982.9916</v>
      </c>
      <c r="I108" s="26">
        <v>1.0233</v>
      </c>
      <c r="J108" s="26">
        <v>5099.2546</v>
      </c>
      <c r="K108" s="26">
        <v>-116.263</v>
      </c>
      <c r="L108" s="26">
        <v>0.0</v>
      </c>
    </row>
    <row r="109" ht="14.25" customHeight="1">
      <c r="A109" s="26" t="s">
        <v>1057</v>
      </c>
      <c r="B109" s="26" t="s">
        <v>894</v>
      </c>
      <c r="C109" s="26" t="s">
        <v>1058</v>
      </c>
      <c r="D109" s="26" t="s">
        <v>896</v>
      </c>
      <c r="E109" s="26" t="s">
        <v>1005</v>
      </c>
      <c r="F109" s="26" t="s">
        <v>898</v>
      </c>
      <c r="G109" s="26">
        <v>-0.35</v>
      </c>
      <c r="H109" s="26">
        <v>5081.4072</v>
      </c>
      <c r="I109" s="26">
        <v>1.0035</v>
      </c>
      <c r="J109" s="26">
        <v>5099.2546</v>
      </c>
      <c r="K109" s="26">
        <v>-17.8474</v>
      </c>
      <c r="L109" s="26">
        <v>0.0</v>
      </c>
    </row>
    <row r="110" ht="14.25" customHeight="1">
      <c r="A110" s="26" t="s">
        <v>1057</v>
      </c>
      <c r="B110" s="26" t="s">
        <v>894</v>
      </c>
      <c r="C110" s="26" t="s">
        <v>1058</v>
      </c>
      <c r="D110" s="26" t="s">
        <v>896</v>
      </c>
      <c r="E110" s="26" t="s">
        <v>1006</v>
      </c>
      <c r="F110" s="26" t="s">
        <v>898</v>
      </c>
      <c r="G110" s="26">
        <v>0.0</v>
      </c>
      <c r="H110" s="26">
        <v>4982.9916</v>
      </c>
      <c r="I110" s="26">
        <v>1.0233</v>
      </c>
      <c r="J110" s="26">
        <v>5099.2546</v>
      </c>
      <c r="K110" s="26">
        <v>-116.263</v>
      </c>
      <c r="L110" s="26">
        <v>0.0</v>
      </c>
    </row>
    <row r="111" ht="14.25" customHeight="1">
      <c r="A111" s="26" t="s">
        <v>1057</v>
      </c>
      <c r="B111" s="26" t="s">
        <v>894</v>
      </c>
      <c r="C111" s="26" t="s">
        <v>1058</v>
      </c>
      <c r="D111" s="26" t="s">
        <v>896</v>
      </c>
      <c r="E111" s="26" t="s">
        <v>1007</v>
      </c>
      <c r="F111" s="26" t="s">
        <v>898</v>
      </c>
      <c r="G111" s="26">
        <v>0.0</v>
      </c>
      <c r="H111" s="26">
        <v>5115.0623</v>
      </c>
      <c r="I111" s="26">
        <v>0.9969</v>
      </c>
      <c r="J111" s="26">
        <v>5099.2546</v>
      </c>
      <c r="K111" s="26">
        <v>15.8077</v>
      </c>
      <c r="L111" s="26">
        <v>0.0</v>
      </c>
    </row>
    <row r="112" ht="14.25" customHeight="1">
      <c r="A112" s="26" t="s">
        <v>1057</v>
      </c>
      <c r="B112" s="26" t="s">
        <v>894</v>
      </c>
      <c r="C112" s="26" t="s">
        <v>1058</v>
      </c>
      <c r="D112" s="26" t="s">
        <v>896</v>
      </c>
      <c r="E112" s="26" t="s">
        <v>1008</v>
      </c>
      <c r="F112" s="26" t="s">
        <v>898</v>
      </c>
      <c r="G112" s="26">
        <v>-15.18</v>
      </c>
      <c r="H112" s="26">
        <v>5069.169</v>
      </c>
      <c r="I112" s="26">
        <v>1.006</v>
      </c>
      <c r="J112" s="26">
        <v>5099.2546</v>
      </c>
      <c r="K112" s="26">
        <v>-30.0856</v>
      </c>
      <c r="L112" s="26">
        <v>0.0</v>
      </c>
    </row>
    <row r="113" ht="14.25" customHeight="1">
      <c r="A113" s="26" t="s">
        <v>1057</v>
      </c>
      <c r="B113" s="26" t="s">
        <v>894</v>
      </c>
      <c r="C113" s="26" t="s">
        <v>1058</v>
      </c>
      <c r="D113" s="26" t="s">
        <v>896</v>
      </c>
      <c r="E113" s="26" t="s">
        <v>1009</v>
      </c>
      <c r="F113" s="26" t="s">
        <v>898</v>
      </c>
      <c r="G113" s="26">
        <v>0.0</v>
      </c>
      <c r="H113" s="26">
        <v>5069.169</v>
      </c>
      <c r="I113" s="26">
        <v>1.006</v>
      </c>
      <c r="J113" s="26">
        <v>5099.2546</v>
      </c>
      <c r="K113" s="26">
        <v>-30.0856</v>
      </c>
      <c r="L113" s="26">
        <v>0.0</v>
      </c>
    </row>
    <row r="114" ht="14.25" customHeight="1">
      <c r="A114" s="26" t="s">
        <v>1057</v>
      </c>
      <c r="B114" s="26" t="s">
        <v>894</v>
      </c>
      <c r="C114" s="26" t="s">
        <v>1058</v>
      </c>
      <c r="D114" s="26" t="s">
        <v>896</v>
      </c>
      <c r="E114" s="26" t="s">
        <v>1010</v>
      </c>
      <c r="F114" s="26" t="s">
        <v>898</v>
      </c>
      <c r="G114" s="26">
        <v>-8.7</v>
      </c>
      <c r="H114" s="26">
        <v>5082.427</v>
      </c>
      <c r="I114" s="26">
        <v>1.0033</v>
      </c>
      <c r="J114" s="26">
        <v>5099.2546</v>
      </c>
      <c r="K114" s="26">
        <v>-16.8275</v>
      </c>
      <c r="L114" s="26">
        <v>0.0</v>
      </c>
    </row>
    <row r="115" ht="14.25" customHeight="1">
      <c r="A115" s="26" t="s">
        <v>1057</v>
      </c>
      <c r="B115" s="26" t="s">
        <v>894</v>
      </c>
      <c r="C115" s="26" t="s">
        <v>1058</v>
      </c>
      <c r="D115" s="26" t="s">
        <v>896</v>
      </c>
      <c r="E115" s="26" t="s">
        <v>1011</v>
      </c>
      <c r="F115" s="26" t="s">
        <v>898</v>
      </c>
      <c r="G115" s="26">
        <v>-6.72</v>
      </c>
      <c r="H115" s="26">
        <v>5082.427</v>
      </c>
      <c r="I115" s="26">
        <v>1.0033</v>
      </c>
      <c r="J115" s="26">
        <v>5099.2546</v>
      </c>
      <c r="K115" s="26">
        <v>-16.8275</v>
      </c>
      <c r="L115" s="26">
        <v>0.0</v>
      </c>
    </row>
    <row r="116" ht="14.25" customHeight="1">
      <c r="A116" s="26" t="s">
        <v>1057</v>
      </c>
      <c r="B116" s="26" t="s">
        <v>894</v>
      </c>
      <c r="C116" s="26" t="s">
        <v>1058</v>
      </c>
      <c r="D116" s="26" t="s">
        <v>896</v>
      </c>
      <c r="E116" s="26" t="s">
        <v>1012</v>
      </c>
      <c r="F116" s="26" t="s">
        <v>898</v>
      </c>
      <c r="G116" s="26">
        <v>-47.6</v>
      </c>
      <c r="H116" s="26">
        <v>5082.427</v>
      </c>
      <c r="I116" s="26">
        <v>1.0033</v>
      </c>
      <c r="J116" s="26">
        <v>5099.2546</v>
      </c>
      <c r="K116" s="26">
        <v>-16.8275</v>
      </c>
      <c r="L116" s="26">
        <v>0.0</v>
      </c>
    </row>
    <row r="117" ht="14.25" customHeight="1">
      <c r="A117" s="26" t="s">
        <v>1057</v>
      </c>
      <c r="B117" s="26" t="s">
        <v>894</v>
      </c>
      <c r="C117" s="26" t="s">
        <v>1058</v>
      </c>
      <c r="D117" s="26" t="s">
        <v>896</v>
      </c>
      <c r="E117" s="26" t="s">
        <v>1013</v>
      </c>
      <c r="F117" s="26" t="s">
        <v>898</v>
      </c>
      <c r="G117" s="26">
        <v>0.0</v>
      </c>
      <c r="H117" s="26">
        <v>5075.2881</v>
      </c>
      <c r="I117" s="26">
        <v>1.0047</v>
      </c>
      <c r="J117" s="26">
        <v>5099.2546</v>
      </c>
      <c r="K117" s="26">
        <v>-23.9665</v>
      </c>
      <c r="L117" s="26">
        <v>0.0</v>
      </c>
    </row>
    <row r="118" ht="14.25" customHeight="1">
      <c r="A118" s="26" t="s">
        <v>1057</v>
      </c>
      <c r="B118" s="26" t="s">
        <v>894</v>
      </c>
      <c r="C118" s="26" t="s">
        <v>1058</v>
      </c>
      <c r="D118" s="26" t="s">
        <v>896</v>
      </c>
      <c r="E118" s="26" t="s">
        <v>1014</v>
      </c>
      <c r="F118" s="26" t="s">
        <v>898</v>
      </c>
      <c r="G118" s="26">
        <v>0.0</v>
      </c>
      <c r="H118" s="26">
        <v>5069.169</v>
      </c>
      <c r="I118" s="26">
        <v>1.006</v>
      </c>
      <c r="J118" s="26">
        <v>5099.2546</v>
      </c>
      <c r="K118" s="26">
        <v>-30.0856</v>
      </c>
      <c r="L118" s="26">
        <v>0.0</v>
      </c>
    </row>
    <row r="119" ht="14.25" customHeight="1">
      <c r="A119" s="26" t="s">
        <v>1057</v>
      </c>
      <c r="B119" s="26" t="s">
        <v>894</v>
      </c>
      <c r="C119" s="26" t="s">
        <v>1058</v>
      </c>
      <c r="D119" s="26" t="s">
        <v>896</v>
      </c>
      <c r="E119" s="26" t="s">
        <v>1015</v>
      </c>
      <c r="F119" s="26" t="s">
        <v>898</v>
      </c>
      <c r="G119" s="26">
        <v>-15.86</v>
      </c>
      <c r="H119" s="26">
        <v>5069.169</v>
      </c>
      <c r="I119" s="26">
        <v>1.006</v>
      </c>
      <c r="J119" s="26">
        <v>5099.2546</v>
      </c>
      <c r="K119" s="26">
        <v>-30.0856</v>
      </c>
      <c r="L119" s="26">
        <v>0.0</v>
      </c>
    </row>
    <row r="120" ht="14.25" customHeight="1">
      <c r="A120" s="26" t="s">
        <v>1057</v>
      </c>
      <c r="B120" s="26" t="s">
        <v>894</v>
      </c>
      <c r="C120" s="26" t="s">
        <v>1058</v>
      </c>
      <c r="D120" s="26" t="s">
        <v>896</v>
      </c>
      <c r="E120" s="26" t="s">
        <v>1016</v>
      </c>
      <c r="F120" s="26" t="s">
        <v>898</v>
      </c>
      <c r="G120" s="26">
        <v>-2.9</v>
      </c>
      <c r="H120" s="26">
        <v>5069.169</v>
      </c>
      <c r="I120" s="26">
        <v>1.006</v>
      </c>
      <c r="J120" s="26">
        <v>5099.2546</v>
      </c>
      <c r="K120" s="26">
        <v>-30.0856</v>
      </c>
      <c r="L120" s="26">
        <v>0.0</v>
      </c>
    </row>
    <row r="121" ht="14.25" customHeight="1">
      <c r="A121" s="26" t="s">
        <v>1057</v>
      </c>
      <c r="B121" s="26" t="s">
        <v>894</v>
      </c>
      <c r="C121" s="26" t="s">
        <v>1058</v>
      </c>
      <c r="D121" s="26" t="s">
        <v>896</v>
      </c>
      <c r="E121" s="26" t="s">
        <v>1017</v>
      </c>
      <c r="F121" s="26" t="s">
        <v>898</v>
      </c>
      <c r="G121" s="26">
        <v>0.0</v>
      </c>
      <c r="H121" s="26">
        <v>5069.169</v>
      </c>
      <c r="I121" s="26">
        <v>1.006</v>
      </c>
      <c r="J121" s="26">
        <v>5099.2546</v>
      </c>
      <c r="K121" s="26">
        <v>-30.0856</v>
      </c>
      <c r="L121" s="26">
        <v>0.0</v>
      </c>
    </row>
    <row r="122" ht="14.25" customHeight="1">
      <c r="A122" s="26" t="s">
        <v>1057</v>
      </c>
      <c r="B122" s="26" t="s">
        <v>894</v>
      </c>
      <c r="C122" s="26" t="s">
        <v>1058</v>
      </c>
      <c r="D122" s="26" t="s">
        <v>896</v>
      </c>
      <c r="E122" s="26" t="s">
        <v>1018</v>
      </c>
      <c r="F122" s="26" t="s">
        <v>898</v>
      </c>
      <c r="G122" s="26">
        <v>-18.73</v>
      </c>
      <c r="H122" s="26">
        <v>5124.2409</v>
      </c>
      <c r="I122" s="26">
        <v>0.9952</v>
      </c>
      <c r="J122" s="26">
        <v>5099.2546</v>
      </c>
      <c r="K122" s="26">
        <v>24.9863</v>
      </c>
      <c r="L122" s="26">
        <v>0.0</v>
      </c>
    </row>
    <row r="123" ht="14.25" customHeight="1">
      <c r="A123" s="26" t="s">
        <v>1057</v>
      </c>
      <c r="B123" s="26" t="s">
        <v>894</v>
      </c>
      <c r="C123" s="26" t="s">
        <v>1058</v>
      </c>
      <c r="D123" s="26" t="s">
        <v>896</v>
      </c>
      <c r="E123" s="26" t="s">
        <v>1019</v>
      </c>
      <c r="F123" s="26" t="s">
        <v>898</v>
      </c>
      <c r="G123" s="26">
        <v>-0.02</v>
      </c>
      <c r="H123" s="26">
        <v>5100.2744</v>
      </c>
      <c r="I123" s="26">
        <v>0.9998</v>
      </c>
      <c r="J123" s="26">
        <v>5099.2546</v>
      </c>
      <c r="K123" s="26">
        <v>1.0199</v>
      </c>
      <c r="L123" s="26">
        <v>0.0</v>
      </c>
    </row>
    <row r="124" ht="14.25" customHeight="1">
      <c r="A124" s="26" t="s">
        <v>1057</v>
      </c>
      <c r="B124" s="26" t="s">
        <v>894</v>
      </c>
      <c r="C124" s="26" t="s">
        <v>1058</v>
      </c>
      <c r="D124" s="26" t="s">
        <v>896</v>
      </c>
      <c r="E124" s="26" t="s">
        <v>1020</v>
      </c>
      <c r="F124" s="26" t="s">
        <v>898</v>
      </c>
      <c r="G124" s="26">
        <v>0.0</v>
      </c>
      <c r="H124" s="26">
        <v>5099.2546</v>
      </c>
      <c r="I124" s="26">
        <v>1.0</v>
      </c>
      <c r="J124" s="26">
        <v>5099.2546</v>
      </c>
      <c r="K124" s="26">
        <v>0.0</v>
      </c>
      <c r="L124" s="26">
        <v>0.0</v>
      </c>
    </row>
    <row r="125" ht="14.25" customHeight="1">
      <c r="A125" s="26" t="s">
        <v>1057</v>
      </c>
      <c r="B125" s="26" t="s">
        <v>894</v>
      </c>
      <c r="C125" s="26" t="s">
        <v>1058</v>
      </c>
      <c r="D125" s="26" t="s">
        <v>896</v>
      </c>
      <c r="E125" s="26" t="s">
        <v>1021</v>
      </c>
      <c r="F125" s="26" t="s">
        <v>898</v>
      </c>
      <c r="G125" s="26">
        <v>0.0</v>
      </c>
      <c r="H125" s="26">
        <v>5100.2744</v>
      </c>
      <c r="I125" s="26">
        <v>0.9998</v>
      </c>
      <c r="J125" s="26">
        <v>5099.2546</v>
      </c>
      <c r="K125" s="26">
        <v>1.0199</v>
      </c>
      <c r="L125" s="26">
        <v>0.0</v>
      </c>
    </row>
    <row r="126" ht="14.25" customHeight="1">
      <c r="A126" s="26" t="s">
        <v>1057</v>
      </c>
      <c r="B126" s="26" t="s">
        <v>894</v>
      </c>
      <c r="C126" s="26" t="s">
        <v>1058</v>
      </c>
      <c r="D126" s="26" t="s">
        <v>896</v>
      </c>
      <c r="E126" s="26" t="s">
        <v>1022</v>
      </c>
      <c r="F126" s="26" t="s">
        <v>898</v>
      </c>
      <c r="G126" s="26">
        <v>-4.83</v>
      </c>
      <c r="H126" s="26">
        <v>5102.824</v>
      </c>
      <c r="I126" s="26">
        <v>0.9993</v>
      </c>
      <c r="J126" s="26">
        <v>5099.2546</v>
      </c>
      <c r="K126" s="26">
        <v>3.5695</v>
      </c>
      <c r="L126" s="26">
        <v>0.0</v>
      </c>
    </row>
    <row r="127" ht="14.25" customHeight="1">
      <c r="A127" s="26" t="s">
        <v>1057</v>
      </c>
      <c r="B127" s="26" t="s">
        <v>894</v>
      </c>
      <c r="C127" s="26" t="s">
        <v>1058</v>
      </c>
      <c r="D127" s="26" t="s">
        <v>896</v>
      </c>
      <c r="E127" s="26" t="s">
        <v>1023</v>
      </c>
      <c r="F127" s="26" t="s">
        <v>898</v>
      </c>
      <c r="G127" s="26">
        <v>-3.39</v>
      </c>
      <c r="H127" s="26">
        <v>5102.824</v>
      </c>
      <c r="I127" s="26">
        <v>0.9993</v>
      </c>
      <c r="J127" s="26">
        <v>5099.2546</v>
      </c>
      <c r="K127" s="26">
        <v>3.5695</v>
      </c>
      <c r="L127" s="26">
        <v>0.0</v>
      </c>
    </row>
    <row r="128" ht="14.25" customHeight="1">
      <c r="A128" s="26" t="s">
        <v>1057</v>
      </c>
      <c r="B128" s="26" t="s">
        <v>894</v>
      </c>
      <c r="C128" s="26" t="s">
        <v>1058</v>
      </c>
      <c r="D128" s="26" t="s">
        <v>896</v>
      </c>
      <c r="E128" s="26" t="s">
        <v>1024</v>
      </c>
      <c r="F128" s="26" t="s">
        <v>898</v>
      </c>
      <c r="G128" s="26">
        <v>-15.93</v>
      </c>
      <c r="H128" s="26">
        <v>5058.4605</v>
      </c>
      <c r="I128" s="26">
        <v>1.0081</v>
      </c>
      <c r="J128" s="26">
        <v>5099.2546</v>
      </c>
      <c r="K128" s="26">
        <v>-40.794</v>
      </c>
      <c r="L128" s="26">
        <v>0.0</v>
      </c>
    </row>
    <row r="129" ht="14.25" customHeight="1">
      <c r="A129" s="26" t="s">
        <v>1057</v>
      </c>
      <c r="B129" s="26" t="s">
        <v>894</v>
      </c>
      <c r="C129" s="26" t="s">
        <v>1058</v>
      </c>
      <c r="D129" s="26" t="s">
        <v>896</v>
      </c>
      <c r="E129" s="26" t="s">
        <v>1025</v>
      </c>
      <c r="F129" s="26" t="s">
        <v>898</v>
      </c>
      <c r="G129" s="26">
        <v>0.0</v>
      </c>
      <c r="H129" s="26">
        <v>5138.5188</v>
      </c>
      <c r="I129" s="26">
        <v>0.9924</v>
      </c>
      <c r="J129" s="26">
        <v>5099.2546</v>
      </c>
      <c r="K129" s="26">
        <v>39.2643</v>
      </c>
      <c r="L129" s="26">
        <v>0.0</v>
      </c>
    </row>
    <row r="130" ht="14.25" customHeight="1">
      <c r="A130" s="26" t="s">
        <v>1057</v>
      </c>
      <c r="B130" s="26" t="s">
        <v>894</v>
      </c>
      <c r="C130" s="26" t="s">
        <v>1058</v>
      </c>
      <c r="D130" s="26" t="s">
        <v>896</v>
      </c>
      <c r="E130" s="26" t="s">
        <v>1026</v>
      </c>
      <c r="F130" s="26" t="s">
        <v>898</v>
      </c>
      <c r="G130" s="26">
        <v>-6.31</v>
      </c>
      <c r="H130" s="26">
        <v>5138.0089</v>
      </c>
      <c r="I130" s="26">
        <v>0.9924</v>
      </c>
      <c r="J130" s="26">
        <v>5099.2546</v>
      </c>
      <c r="K130" s="26">
        <v>38.7543</v>
      </c>
      <c r="L130" s="26">
        <v>0.0</v>
      </c>
    </row>
    <row r="131" ht="14.25" customHeight="1">
      <c r="A131" s="26" t="s">
        <v>1057</v>
      </c>
      <c r="B131" s="26" t="s">
        <v>894</v>
      </c>
      <c r="C131" s="26" t="s">
        <v>1058</v>
      </c>
      <c r="D131" s="26" t="s">
        <v>896</v>
      </c>
      <c r="E131" s="26" t="s">
        <v>1027</v>
      </c>
      <c r="F131" s="26" t="s">
        <v>898</v>
      </c>
      <c r="G131" s="26">
        <v>-5.64</v>
      </c>
      <c r="H131" s="26">
        <v>5138.0089</v>
      </c>
      <c r="I131" s="26">
        <v>0.9924</v>
      </c>
      <c r="J131" s="26">
        <v>5099.2546</v>
      </c>
      <c r="K131" s="26">
        <v>38.7543</v>
      </c>
      <c r="L131" s="26">
        <v>0.0</v>
      </c>
    </row>
    <row r="132" ht="14.25" customHeight="1">
      <c r="A132" s="26" t="s">
        <v>1057</v>
      </c>
      <c r="B132" s="26" t="s">
        <v>894</v>
      </c>
      <c r="C132" s="26" t="s">
        <v>1058</v>
      </c>
      <c r="D132" s="26" t="s">
        <v>896</v>
      </c>
      <c r="E132" s="26" t="s">
        <v>1028</v>
      </c>
      <c r="F132" s="26" t="s">
        <v>898</v>
      </c>
      <c r="G132" s="26">
        <v>-23.85</v>
      </c>
      <c r="H132" s="26">
        <v>5138.0089</v>
      </c>
      <c r="I132" s="26">
        <v>0.9924</v>
      </c>
      <c r="J132" s="26">
        <v>5099.2546</v>
      </c>
      <c r="K132" s="26">
        <v>38.7543</v>
      </c>
      <c r="L132" s="26">
        <v>0.0</v>
      </c>
    </row>
    <row r="133" ht="14.25" customHeight="1">
      <c r="A133" s="26" t="s">
        <v>1057</v>
      </c>
      <c r="B133" s="26" t="s">
        <v>894</v>
      </c>
      <c r="C133" s="26" t="s">
        <v>1058</v>
      </c>
      <c r="D133" s="26" t="s">
        <v>896</v>
      </c>
      <c r="E133" s="26" t="s">
        <v>1029</v>
      </c>
      <c r="F133" s="26" t="s">
        <v>898</v>
      </c>
      <c r="G133" s="26">
        <v>-5.51</v>
      </c>
      <c r="H133" s="26">
        <v>5138.0089</v>
      </c>
      <c r="I133" s="26">
        <v>0.9924</v>
      </c>
      <c r="J133" s="26">
        <v>5099.2546</v>
      </c>
      <c r="K133" s="26">
        <v>38.7543</v>
      </c>
      <c r="L133" s="26">
        <v>0.0</v>
      </c>
    </row>
    <row r="134" ht="14.25" customHeight="1">
      <c r="A134" s="26" t="s">
        <v>1057</v>
      </c>
      <c r="B134" s="26" t="s">
        <v>894</v>
      </c>
      <c r="C134" s="26" t="s">
        <v>1058</v>
      </c>
      <c r="D134" s="26" t="s">
        <v>896</v>
      </c>
      <c r="E134" s="26" t="s">
        <v>1030</v>
      </c>
      <c r="F134" s="26" t="s">
        <v>898</v>
      </c>
      <c r="G134" s="26">
        <v>0.0</v>
      </c>
      <c r="H134" s="26">
        <v>5138.5188</v>
      </c>
      <c r="I134" s="26">
        <v>0.9924</v>
      </c>
      <c r="J134" s="26">
        <v>5099.2546</v>
      </c>
      <c r="K134" s="26">
        <v>39.2643</v>
      </c>
      <c r="L134" s="26">
        <v>0.0</v>
      </c>
    </row>
    <row r="135" ht="14.25" customHeight="1">
      <c r="A135" s="26" t="s">
        <v>1057</v>
      </c>
      <c r="B135" s="26" t="s">
        <v>894</v>
      </c>
      <c r="C135" s="26" t="s">
        <v>1058</v>
      </c>
      <c r="D135" s="26" t="s">
        <v>896</v>
      </c>
      <c r="E135" s="26" t="s">
        <v>1031</v>
      </c>
      <c r="F135" s="26" t="s">
        <v>898</v>
      </c>
      <c r="G135" s="26">
        <v>0.0</v>
      </c>
      <c r="H135" s="26">
        <v>5138.5188</v>
      </c>
      <c r="I135" s="26">
        <v>0.9924</v>
      </c>
      <c r="J135" s="26">
        <v>5099.2546</v>
      </c>
      <c r="K135" s="26">
        <v>39.2643</v>
      </c>
      <c r="L135" s="26">
        <v>0.0</v>
      </c>
    </row>
    <row r="136" ht="14.25" customHeight="1">
      <c r="A136" s="26" t="s">
        <v>1057</v>
      </c>
      <c r="B136" s="26" t="s">
        <v>894</v>
      </c>
      <c r="C136" s="26" t="s">
        <v>1058</v>
      </c>
      <c r="D136" s="26" t="s">
        <v>896</v>
      </c>
      <c r="E136" s="26" t="s">
        <v>1032</v>
      </c>
      <c r="F136" s="26" t="s">
        <v>898</v>
      </c>
      <c r="G136" s="26">
        <v>0.0</v>
      </c>
      <c r="H136" s="26">
        <v>5094.6652</v>
      </c>
      <c r="I136" s="26">
        <v>1.0009</v>
      </c>
      <c r="J136" s="26">
        <v>5099.2546</v>
      </c>
      <c r="K136" s="26">
        <v>-4.5893</v>
      </c>
      <c r="L136" s="26">
        <v>0.0</v>
      </c>
    </row>
    <row r="137" ht="14.25" customHeight="1">
      <c r="A137" s="26" t="s">
        <v>1057</v>
      </c>
      <c r="B137" s="26" t="s">
        <v>894</v>
      </c>
      <c r="C137" s="26" t="s">
        <v>1058</v>
      </c>
      <c r="D137" s="26" t="s">
        <v>896</v>
      </c>
      <c r="E137" s="26" t="s">
        <v>1033</v>
      </c>
      <c r="F137" s="26" t="s">
        <v>898</v>
      </c>
      <c r="G137" s="26">
        <v>-28.39</v>
      </c>
      <c r="H137" s="26">
        <v>5212.458</v>
      </c>
      <c r="I137" s="26">
        <v>0.9783</v>
      </c>
      <c r="J137" s="26">
        <v>5099.2546</v>
      </c>
      <c r="K137" s="26">
        <v>113.2035</v>
      </c>
      <c r="L137" s="26">
        <v>0.0</v>
      </c>
    </row>
    <row r="138" ht="14.25" customHeight="1">
      <c r="A138" s="26" t="s">
        <v>1057</v>
      </c>
      <c r="B138" s="26" t="s">
        <v>894</v>
      </c>
      <c r="C138" s="26" t="s">
        <v>1058</v>
      </c>
      <c r="D138" s="26" t="s">
        <v>896</v>
      </c>
      <c r="E138" s="26" t="s">
        <v>1034</v>
      </c>
      <c r="F138" s="26" t="s">
        <v>898</v>
      </c>
      <c r="G138" s="26">
        <v>-29.21</v>
      </c>
      <c r="H138" s="26">
        <v>5212.458</v>
      </c>
      <c r="I138" s="26">
        <v>0.9783</v>
      </c>
      <c r="J138" s="26">
        <v>5099.2546</v>
      </c>
      <c r="K138" s="26">
        <v>113.2035</v>
      </c>
      <c r="L138" s="26">
        <v>0.0</v>
      </c>
    </row>
    <row r="139" ht="14.25" customHeight="1">
      <c r="A139" s="26" t="s">
        <v>1057</v>
      </c>
      <c r="B139" s="26" t="s">
        <v>894</v>
      </c>
      <c r="C139" s="26" t="s">
        <v>1058</v>
      </c>
      <c r="D139" s="26" t="s">
        <v>896</v>
      </c>
      <c r="E139" s="26" t="s">
        <v>1035</v>
      </c>
      <c r="F139" s="26" t="s">
        <v>898</v>
      </c>
      <c r="G139" s="26">
        <v>-3.32</v>
      </c>
      <c r="H139" s="26">
        <v>5212.458</v>
      </c>
      <c r="I139" s="26">
        <v>0.9783</v>
      </c>
      <c r="J139" s="26">
        <v>5099.2546</v>
      </c>
      <c r="K139" s="26">
        <v>113.2035</v>
      </c>
      <c r="L139" s="26">
        <v>0.0</v>
      </c>
    </row>
    <row r="140" ht="14.25" customHeight="1">
      <c r="A140" s="26" t="s">
        <v>1057</v>
      </c>
      <c r="B140" s="26" t="s">
        <v>894</v>
      </c>
      <c r="C140" s="26" t="s">
        <v>1058</v>
      </c>
      <c r="D140" s="26" t="s">
        <v>896</v>
      </c>
      <c r="E140" s="26" t="s">
        <v>1036</v>
      </c>
      <c r="F140" s="26" t="s">
        <v>898</v>
      </c>
      <c r="G140" s="26">
        <v>0.0</v>
      </c>
      <c r="H140" s="26">
        <v>5212.458</v>
      </c>
      <c r="I140" s="26">
        <v>0.9783</v>
      </c>
      <c r="J140" s="26">
        <v>5099.2546</v>
      </c>
      <c r="K140" s="26">
        <v>113.2035</v>
      </c>
      <c r="L140" s="26">
        <v>0.0</v>
      </c>
    </row>
    <row r="141" ht="14.25" customHeight="1">
      <c r="A141" s="26" t="s">
        <v>1057</v>
      </c>
      <c r="B141" s="26" t="s">
        <v>894</v>
      </c>
      <c r="C141" s="26" t="s">
        <v>1058</v>
      </c>
      <c r="D141" s="26" t="s">
        <v>896</v>
      </c>
      <c r="E141" s="26" t="s">
        <v>1037</v>
      </c>
      <c r="F141" s="26" t="s">
        <v>898</v>
      </c>
      <c r="G141" s="26">
        <v>-13.55</v>
      </c>
      <c r="H141" s="26">
        <v>5057.4407</v>
      </c>
      <c r="I141" s="26">
        <v>1.0082</v>
      </c>
      <c r="J141" s="26">
        <v>5099.2546</v>
      </c>
      <c r="K141" s="26">
        <v>-41.8139</v>
      </c>
      <c r="L141" s="26">
        <v>0.0</v>
      </c>
    </row>
    <row r="142" ht="14.25" customHeight="1">
      <c r="A142" s="26" t="s">
        <v>1057</v>
      </c>
      <c r="B142" s="26" t="s">
        <v>894</v>
      </c>
      <c r="C142" s="26" t="s">
        <v>1058</v>
      </c>
      <c r="D142" s="26" t="s">
        <v>896</v>
      </c>
      <c r="E142" s="26" t="s">
        <v>1038</v>
      </c>
      <c r="F142" s="26" t="s">
        <v>898</v>
      </c>
      <c r="G142" s="26">
        <v>0.0</v>
      </c>
      <c r="H142" s="26">
        <v>5192.061</v>
      </c>
      <c r="I142" s="26">
        <v>0.9822</v>
      </c>
      <c r="J142" s="26">
        <v>5099.2546</v>
      </c>
      <c r="K142" s="26">
        <v>92.8064</v>
      </c>
      <c r="L142" s="26">
        <v>0.0</v>
      </c>
    </row>
    <row r="143" ht="14.25" customHeight="1">
      <c r="A143" s="26" t="s">
        <v>1057</v>
      </c>
      <c r="B143" s="26" t="s">
        <v>894</v>
      </c>
      <c r="C143" s="26" t="s">
        <v>1058</v>
      </c>
      <c r="D143" s="26" t="s">
        <v>896</v>
      </c>
      <c r="E143" s="26" t="s">
        <v>1039</v>
      </c>
      <c r="F143" s="26" t="s">
        <v>898</v>
      </c>
      <c r="G143" s="26">
        <v>-40.11</v>
      </c>
      <c r="H143" s="26">
        <v>5191.0411</v>
      </c>
      <c r="I143" s="26">
        <v>0.9823</v>
      </c>
      <c r="J143" s="26">
        <v>5099.2546</v>
      </c>
      <c r="K143" s="26">
        <v>91.7866</v>
      </c>
      <c r="L143" s="26">
        <v>0.0</v>
      </c>
    </row>
    <row r="144" ht="14.25" customHeight="1">
      <c r="A144" s="26" t="s">
        <v>1057</v>
      </c>
      <c r="B144" s="26" t="s">
        <v>894</v>
      </c>
      <c r="C144" s="26" t="s">
        <v>1058</v>
      </c>
      <c r="D144" s="26" t="s">
        <v>896</v>
      </c>
      <c r="E144" s="26" t="s">
        <v>1040</v>
      </c>
      <c r="F144" s="26" t="s">
        <v>898</v>
      </c>
      <c r="G144" s="26">
        <v>0.0</v>
      </c>
      <c r="H144" s="26">
        <v>5191.0411</v>
      </c>
      <c r="I144" s="26">
        <v>0.9823</v>
      </c>
      <c r="J144" s="26">
        <v>5099.2546</v>
      </c>
      <c r="K144" s="26">
        <v>91.7866</v>
      </c>
      <c r="L144" s="26">
        <v>0.0</v>
      </c>
    </row>
    <row r="145" ht="14.25" customHeight="1">
      <c r="A145" s="26" t="s">
        <v>1057</v>
      </c>
      <c r="B145" s="26" t="s">
        <v>894</v>
      </c>
      <c r="C145" s="26" t="s">
        <v>1058</v>
      </c>
      <c r="D145" s="26" t="s">
        <v>896</v>
      </c>
      <c r="E145" s="26" t="s">
        <v>1041</v>
      </c>
      <c r="F145" s="26" t="s">
        <v>898</v>
      </c>
      <c r="G145" s="26">
        <v>0.0</v>
      </c>
      <c r="H145" s="26">
        <v>5138.5188</v>
      </c>
      <c r="I145" s="26">
        <v>0.9924</v>
      </c>
      <c r="J145" s="26">
        <v>5099.2546</v>
      </c>
      <c r="K145" s="26">
        <v>39.2643</v>
      </c>
      <c r="L145" s="26">
        <v>0.0</v>
      </c>
    </row>
    <row r="146" ht="14.25" customHeight="1">
      <c r="A146" s="26" t="s">
        <v>1057</v>
      </c>
      <c r="B146" s="26" t="s">
        <v>894</v>
      </c>
      <c r="C146" s="26" t="s">
        <v>1058</v>
      </c>
      <c r="D146" s="26" t="s">
        <v>896</v>
      </c>
      <c r="E146" s="26" t="s">
        <v>1042</v>
      </c>
      <c r="F146" s="26" t="s">
        <v>898</v>
      </c>
      <c r="G146" s="26">
        <v>-9.6</v>
      </c>
      <c r="H146" s="26">
        <v>5094.6652</v>
      </c>
      <c r="I146" s="26">
        <v>1.0009</v>
      </c>
      <c r="J146" s="26">
        <v>5099.2546</v>
      </c>
      <c r="K146" s="26">
        <v>-4.5893</v>
      </c>
      <c r="L146" s="26">
        <v>0.0</v>
      </c>
    </row>
    <row r="147" ht="14.25" customHeight="1">
      <c r="A147" s="26" t="s">
        <v>1057</v>
      </c>
      <c r="B147" s="26" t="s">
        <v>894</v>
      </c>
      <c r="C147" s="26" t="s">
        <v>1058</v>
      </c>
      <c r="D147" s="26" t="s">
        <v>896</v>
      </c>
      <c r="E147" s="26" t="s">
        <v>1043</v>
      </c>
      <c r="F147" s="26" t="s">
        <v>898</v>
      </c>
      <c r="G147" s="26">
        <v>-8.74</v>
      </c>
      <c r="H147" s="26">
        <v>5094.6652</v>
      </c>
      <c r="I147" s="26">
        <v>1.0009</v>
      </c>
      <c r="J147" s="26">
        <v>5099.2546</v>
      </c>
      <c r="K147" s="26">
        <v>-4.5893</v>
      </c>
      <c r="L147" s="26">
        <v>0.0</v>
      </c>
    </row>
    <row r="148" ht="14.25" customHeight="1">
      <c r="A148" s="26" t="s">
        <v>1057</v>
      </c>
      <c r="B148" s="26" t="s">
        <v>894</v>
      </c>
      <c r="C148" s="26" t="s">
        <v>1058</v>
      </c>
      <c r="D148" s="26" t="s">
        <v>896</v>
      </c>
      <c r="E148" s="26" t="s">
        <v>1044</v>
      </c>
      <c r="F148" s="26" t="s">
        <v>898</v>
      </c>
      <c r="G148" s="26">
        <v>-2.8</v>
      </c>
      <c r="H148" s="26">
        <v>5094.6652</v>
      </c>
      <c r="I148" s="26">
        <v>1.0009</v>
      </c>
      <c r="J148" s="26">
        <v>5099.2546</v>
      </c>
      <c r="K148" s="26">
        <v>-4.5893</v>
      </c>
      <c r="L148" s="26">
        <v>0.0</v>
      </c>
    </row>
    <row r="149" ht="14.25" customHeight="1">
      <c r="A149" s="26" t="s">
        <v>1057</v>
      </c>
      <c r="B149" s="26" t="s">
        <v>894</v>
      </c>
      <c r="C149" s="26" t="s">
        <v>1058</v>
      </c>
      <c r="D149" s="26" t="s">
        <v>896</v>
      </c>
      <c r="E149" s="26" t="s">
        <v>1045</v>
      </c>
      <c r="F149" s="26" t="s">
        <v>898</v>
      </c>
      <c r="G149" s="26">
        <v>-30.76</v>
      </c>
      <c r="H149" s="26">
        <v>5094.6652</v>
      </c>
      <c r="I149" s="26">
        <v>1.0009</v>
      </c>
      <c r="J149" s="26">
        <v>5099.2546</v>
      </c>
      <c r="K149" s="26">
        <v>-4.5893</v>
      </c>
      <c r="L149" s="26">
        <v>0.0</v>
      </c>
    </row>
    <row r="150" ht="14.25" customHeight="1">
      <c r="A150" s="26" t="s">
        <v>1057</v>
      </c>
      <c r="B150" s="26" t="s">
        <v>894</v>
      </c>
      <c r="C150" s="26" t="s">
        <v>1058</v>
      </c>
      <c r="D150" s="26" t="s">
        <v>896</v>
      </c>
      <c r="E150" s="26" t="s">
        <v>1046</v>
      </c>
      <c r="F150" s="26" t="s">
        <v>898</v>
      </c>
      <c r="G150" s="26">
        <v>0.0</v>
      </c>
      <c r="H150" s="26">
        <v>5094.6652</v>
      </c>
      <c r="I150" s="26">
        <v>1.0009</v>
      </c>
      <c r="J150" s="26">
        <v>5099.2546</v>
      </c>
      <c r="K150" s="26">
        <v>-4.5893</v>
      </c>
      <c r="L150" s="26">
        <v>0.0</v>
      </c>
    </row>
    <row r="151" ht="14.25" customHeight="1">
      <c r="A151" s="26" t="s">
        <v>1057</v>
      </c>
      <c r="B151" s="26" t="s">
        <v>894</v>
      </c>
      <c r="C151" s="26" t="s">
        <v>1058</v>
      </c>
      <c r="D151" s="26" t="s">
        <v>896</v>
      </c>
      <c r="E151" s="26" t="s">
        <v>1047</v>
      </c>
      <c r="F151" s="26" t="s">
        <v>898</v>
      </c>
      <c r="G151" s="26">
        <v>0.0</v>
      </c>
      <c r="H151" s="26">
        <v>5102.824</v>
      </c>
      <c r="I151" s="26">
        <v>0.9993</v>
      </c>
      <c r="J151" s="26">
        <v>5099.2546</v>
      </c>
      <c r="K151" s="26">
        <v>3.5695</v>
      </c>
      <c r="L151" s="26">
        <v>0.0</v>
      </c>
    </row>
    <row r="152" ht="14.25" customHeight="1">
      <c r="A152" s="26" t="s">
        <v>1057</v>
      </c>
      <c r="B152" s="26" t="s">
        <v>894</v>
      </c>
      <c r="C152" s="26" t="s">
        <v>1058</v>
      </c>
      <c r="D152" s="26" t="s">
        <v>896</v>
      </c>
      <c r="E152" s="26" t="s">
        <v>1048</v>
      </c>
      <c r="F152" s="26" t="s">
        <v>898</v>
      </c>
      <c r="G152" s="26">
        <v>-0.06</v>
      </c>
      <c r="H152" s="26">
        <v>5185.432</v>
      </c>
      <c r="I152" s="26">
        <v>0.9834</v>
      </c>
      <c r="J152" s="26">
        <v>5099.2546</v>
      </c>
      <c r="K152" s="26">
        <v>86.1774</v>
      </c>
      <c r="L152" s="26">
        <v>0.0</v>
      </c>
    </row>
    <row r="153" ht="14.25" customHeight="1">
      <c r="A153" s="26" t="s">
        <v>1057</v>
      </c>
      <c r="B153" s="26" t="s">
        <v>894</v>
      </c>
      <c r="C153" s="26" t="s">
        <v>1058</v>
      </c>
      <c r="D153" s="26" t="s">
        <v>896</v>
      </c>
      <c r="E153" s="26" t="s">
        <v>1049</v>
      </c>
      <c r="F153" s="26" t="s">
        <v>898</v>
      </c>
      <c r="G153" s="26">
        <v>-13.75</v>
      </c>
      <c r="H153" s="26">
        <v>5185.432</v>
      </c>
      <c r="I153" s="26">
        <v>0.9834</v>
      </c>
      <c r="J153" s="26">
        <v>5099.2546</v>
      </c>
      <c r="K153" s="26">
        <v>86.1774</v>
      </c>
      <c r="L153" s="26">
        <v>0.0</v>
      </c>
    </row>
    <row r="154" ht="14.25" customHeight="1">
      <c r="A154" s="26" t="s">
        <v>1057</v>
      </c>
      <c r="B154" s="26" t="s">
        <v>894</v>
      </c>
      <c r="C154" s="26" t="s">
        <v>1058</v>
      </c>
      <c r="D154" s="26" t="s">
        <v>896</v>
      </c>
      <c r="E154" s="26" t="s">
        <v>1050</v>
      </c>
      <c r="F154" s="26" t="s">
        <v>898</v>
      </c>
      <c r="G154" s="26">
        <v>-3.42</v>
      </c>
      <c r="H154" s="26">
        <v>5185.432</v>
      </c>
      <c r="I154" s="26">
        <v>0.9834</v>
      </c>
      <c r="J154" s="26">
        <v>5099.2546</v>
      </c>
      <c r="K154" s="26">
        <v>86.1774</v>
      </c>
      <c r="L154" s="26">
        <v>0.0</v>
      </c>
    </row>
    <row r="155" ht="14.25" customHeight="1">
      <c r="A155" s="26" t="s">
        <v>1057</v>
      </c>
      <c r="B155" s="26" t="s">
        <v>894</v>
      </c>
      <c r="C155" s="26" t="s">
        <v>1058</v>
      </c>
      <c r="D155" s="26" t="s">
        <v>896</v>
      </c>
      <c r="E155" s="26" t="s">
        <v>1051</v>
      </c>
      <c r="F155" s="26" t="s">
        <v>898</v>
      </c>
      <c r="G155" s="26">
        <v>0.0</v>
      </c>
      <c r="H155" s="26">
        <v>5187.9816</v>
      </c>
      <c r="I155" s="26">
        <v>0.9829</v>
      </c>
      <c r="J155" s="26">
        <v>5099.2546</v>
      </c>
      <c r="K155" s="26">
        <v>88.727</v>
      </c>
      <c r="L155" s="26">
        <v>0.0</v>
      </c>
    </row>
    <row r="156" ht="14.25" customHeight="1">
      <c r="A156" s="26" t="s">
        <v>1057</v>
      </c>
      <c r="B156" s="26" t="s">
        <v>894</v>
      </c>
      <c r="C156" s="26" t="s">
        <v>1058</v>
      </c>
      <c r="D156" s="26" t="s">
        <v>896</v>
      </c>
      <c r="E156" s="26" t="s">
        <v>1052</v>
      </c>
      <c r="F156" s="26" t="s">
        <v>898</v>
      </c>
      <c r="G156" s="26">
        <v>-0.15</v>
      </c>
      <c r="H156" s="26">
        <v>5130.36</v>
      </c>
      <c r="I156" s="26">
        <v>0.9939</v>
      </c>
      <c r="J156" s="26">
        <v>5099.2546</v>
      </c>
      <c r="K156" s="26">
        <v>31.1055</v>
      </c>
      <c r="L156" s="26">
        <v>0.0</v>
      </c>
    </row>
    <row r="157" ht="14.25" customHeight="1">
      <c r="A157" s="26" t="s">
        <v>1057</v>
      </c>
      <c r="B157" s="26" t="s">
        <v>894</v>
      </c>
      <c r="C157" s="26" t="s">
        <v>1058</v>
      </c>
      <c r="D157" s="26" t="s">
        <v>896</v>
      </c>
      <c r="E157" s="26" t="s">
        <v>1053</v>
      </c>
      <c r="F157" s="26" t="s">
        <v>898</v>
      </c>
      <c r="G157" s="26">
        <v>0.0</v>
      </c>
      <c r="H157" s="26">
        <v>5130.36</v>
      </c>
      <c r="I157" s="26">
        <v>0.994</v>
      </c>
      <c r="J157" s="26">
        <v>5099.2546</v>
      </c>
      <c r="K157" s="26">
        <v>31.1055</v>
      </c>
      <c r="L157" s="26">
        <v>0.0</v>
      </c>
    </row>
    <row r="158" ht="14.25" customHeight="1">
      <c r="A158" s="26" t="s">
        <v>1057</v>
      </c>
      <c r="B158" s="26" t="s">
        <v>894</v>
      </c>
      <c r="C158" s="26" t="s">
        <v>1058</v>
      </c>
      <c r="D158" s="26" t="s">
        <v>896</v>
      </c>
      <c r="E158" s="26" t="s">
        <v>1054</v>
      </c>
      <c r="F158" s="26" t="s">
        <v>898</v>
      </c>
      <c r="G158" s="26">
        <v>0.0</v>
      </c>
      <c r="H158" s="26">
        <v>5129.3402</v>
      </c>
      <c r="I158" s="26">
        <v>0.9941</v>
      </c>
      <c r="J158" s="26">
        <v>5099.2546</v>
      </c>
      <c r="K158" s="26">
        <v>30.0856</v>
      </c>
      <c r="L158" s="26">
        <v>0.0</v>
      </c>
    </row>
    <row r="159" ht="14.25" customHeight="1">
      <c r="A159" s="26" t="s">
        <v>1057</v>
      </c>
      <c r="B159" s="26" t="s">
        <v>894</v>
      </c>
      <c r="C159" s="26" t="s">
        <v>1058</v>
      </c>
      <c r="D159" s="26" t="s">
        <v>896</v>
      </c>
      <c r="E159" s="26" t="s">
        <v>1055</v>
      </c>
      <c r="F159" s="26" t="s">
        <v>898</v>
      </c>
      <c r="G159" s="26">
        <v>-23.47</v>
      </c>
      <c r="H159" s="26">
        <v>5130.36</v>
      </c>
      <c r="I159" s="26">
        <v>0.994</v>
      </c>
      <c r="J159" s="26">
        <v>5099.2546</v>
      </c>
      <c r="K159" s="26">
        <v>31.1055</v>
      </c>
      <c r="L159" s="26">
        <v>0.0</v>
      </c>
    </row>
    <row r="160" ht="14.25" customHeight="1">
      <c r="A160" s="26" t="s">
        <v>1057</v>
      </c>
      <c r="B160" s="26" t="s">
        <v>894</v>
      </c>
      <c r="C160" s="26" t="s">
        <v>1058</v>
      </c>
      <c r="D160" s="26" t="s">
        <v>896</v>
      </c>
      <c r="E160" s="26" t="s">
        <v>1056</v>
      </c>
      <c r="F160" s="26" t="s">
        <v>898</v>
      </c>
      <c r="G160" s="26">
        <v>-37.59</v>
      </c>
      <c r="H160" s="26">
        <v>5129.3402</v>
      </c>
      <c r="I160" s="26">
        <v>0.9941</v>
      </c>
      <c r="J160" s="26">
        <v>5099.2546</v>
      </c>
      <c r="K160" s="26">
        <v>30.0856</v>
      </c>
      <c r="L160" s="26">
        <v>0.0</v>
      </c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14"/>
    <col customWidth="1" min="3" max="3" width="12.57"/>
    <col customWidth="1" min="4" max="4" width="7.14"/>
    <col customWidth="1" min="5" max="5" width="15.29"/>
    <col customWidth="1" min="6" max="6" width="13.71"/>
    <col customWidth="1" min="7" max="7" width="14.29"/>
    <col customWidth="1" min="8" max="8" width="10.14"/>
    <col customWidth="1" min="9" max="9" width="10.71"/>
    <col customWidth="1" min="10" max="10" width="10.14"/>
    <col customWidth="1" min="11" max="11" width="9.71"/>
    <col customWidth="1" min="12" max="12" width="15.14"/>
  </cols>
  <sheetData>
    <row r="1" ht="14.25" customHeight="1">
      <c r="A1" s="29" t="s">
        <v>882</v>
      </c>
      <c r="B1" s="29" t="s">
        <v>883</v>
      </c>
      <c r="C1" s="29" t="s">
        <v>884</v>
      </c>
      <c r="D1" s="29" t="s">
        <v>12</v>
      </c>
      <c r="E1" s="29" t="s">
        <v>885</v>
      </c>
      <c r="F1" s="29" t="s">
        <v>886</v>
      </c>
      <c r="G1" s="29" t="s">
        <v>887</v>
      </c>
      <c r="H1" s="30" t="s">
        <v>888</v>
      </c>
      <c r="I1" s="29" t="s">
        <v>889</v>
      </c>
      <c r="J1" s="29" t="s">
        <v>890</v>
      </c>
      <c r="K1" s="29" t="s">
        <v>891</v>
      </c>
      <c r="L1" s="29" t="s">
        <v>892</v>
      </c>
    </row>
    <row r="2" ht="14.25" customHeight="1">
      <c r="A2" s="31">
        <v>46236.625</v>
      </c>
      <c r="B2" s="26" t="s">
        <v>894</v>
      </c>
      <c r="C2" s="31">
        <v>46236.62847222222</v>
      </c>
      <c r="D2" s="26" t="s">
        <v>896</v>
      </c>
      <c r="E2" s="26" t="s">
        <v>897</v>
      </c>
      <c r="F2" s="26" t="s">
        <v>898</v>
      </c>
      <c r="G2" s="26">
        <v>0.0</v>
      </c>
      <c r="H2" s="26">
        <v>2922.243</v>
      </c>
      <c r="I2" s="26">
        <v>1.0214</v>
      </c>
      <c r="J2" s="26">
        <v>2984.9264</v>
      </c>
      <c r="K2" s="26">
        <v>-62.6835</v>
      </c>
      <c r="L2" s="26">
        <v>0.0</v>
      </c>
    </row>
    <row r="3" ht="14.25" customHeight="1">
      <c r="A3" s="31">
        <v>46236.625</v>
      </c>
      <c r="B3" s="26" t="s">
        <v>894</v>
      </c>
      <c r="C3" s="31">
        <v>46236.62847222222</v>
      </c>
      <c r="D3" s="26" t="s">
        <v>896</v>
      </c>
      <c r="E3" s="26" t="s">
        <v>899</v>
      </c>
      <c r="F3" s="26" t="s">
        <v>898</v>
      </c>
      <c r="G3" s="26">
        <v>-49.07</v>
      </c>
      <c r="H3" s="26">
        <v>2921.3475</v>
      </c>
      <c r="I3" s="26">
        <v>1.0218</v>
      </c>
      <c r="J3" s="26">
        <v>2984.9264</v>
      </c>
      <c r="K3" s="26">
        <v>-63.5789</v>
      </c>
      <c r="L3" s="26">
        <v>0.0</v>
      </c>
    </row>
    <row r="4" ht="14.25" customHeight="1">
      <c r="A4" s="31">
        <v>46236.625</v>
      </c>
      <c r="B4" s="26" t="s">
        <v>894</v>
      </c>
      <c r="C4" s="31">
        <v>46236.62847222222</v>
      </c>
      <c r="D4" s="26" t="s">
        <v>896</v>
      </c>
      <c r="E4" s="26" t="s">
        <v>900</v>
      </c>
      <c r="F4" s="26" t="s">
        <v>898</v>
      </c>
      <c r="G4" s="26">
        <v>-3.36</v>
      </c>
      <c r="H4" s="26">
        <v>2923.7354</v>
      </c>
      <c r="I4" s="26">
        <v>1.0209</v>
      </c>
      <c r="J4" s="26">
        <v>2984.9264</v>
      </c>
      <c r="K4" s="26">
        <v>-61.191</v>
      </c>
      <c r="L4" s="26">
        <v>0.0</v>
      </c>
    </row>
    <row r="5" ht="14.25" customHeight="1">
      <c r="A5" s="31">
        <v>46236.625</v>
      </c>
      <c r="B5" s="26" t="s">
        <v>894</v>
      </c>
      <c r="C5" s="31">
        <v>46236.62847222222</v>
      </c>
      <c r="D5" s="26" t="s">
        <v>896</v>
      </c>
      <c r="E5" s="26" t="s">
        <v>901</v>
      </c>
      <c r="F5" s="26" t="s">
        <v>898</v>
      </c>
      <c r="G5" s="26">
        <v>-5.61</v>
      </c>
      <c r="H5" s="26">
        <v>2923.7354</v>
      </c>
      <c r="I5" s="26">
        <v>1.0209</v>
      </c>
      <c r="J5" s="26">
        <v>2984.9264</v>
      </c>
      <c r="K5" s="26">
        <v>-61.191</v>
      </c>
      <c r="L5" s="26">
        <v>0.0</v>
      </c>
    </row>
    <row r="6" ht="14.25" customHeight="1">
      <c r="A6" s="31">
        <v>46236.625</v>
      </c>
      <c r="B6" s="26" t="s">
        <v>894</v>
      </c>
      <c r="C6" s="31">
        <v>46236.62847222222</v>
      </c>
      <c r="D6" s="26" t="s">
        <v>896</v>
      </c>
      <c r="E6" s="26" t="s">
        <v>902</v>
      </c>
      <c r="F6" s="26" t="s">
        <v>898</v>
      </c>
      <c r="G6" s="26">
        <v>-27.1</v>
      </c>
      <c r="H6" s="26">
        <v>2961.644</v>
      </c>
      <c r="I6" s="26">
        <v>1.0079</v>
      </c>
      <c r="J6" s="26">
        <v>2984.9264</v>
      </c>
      <c r="K6" s="26">
        <v>-23.2824</v>
      </c>
      <c r="L6" s="26">
        <v>0.0</v>
      </c>
    </row>
    <row r="7" ht="14.25" customHeight="1">
      <c r="A7" s="31">
        <v>46236.625</v>
      </c>
      <c r="B7" s="26" t="s">
        <v>894</v>
      </c>
      <c r="C7" s="31">
        <v>46236.62847222222</v>
      </c>
      <c r="D7" s="26" t="s">
        <v>896</v>
      </c>
      <c r="E7" s="26" t="s">
        <v>903</v>
      </c>
      <c r="F7" s="26" t="s">
        <v>898</v>
      </c>
      <c r="G7" s="26">
        <v>0.0</v>
      </c>
      <c r="H7" s="26">
        <v>2962.241</v>
      </c>
      <c r="I7" s="26">
        <v>1.0076</v>
      </c>
      <c r="J7" s="26">
        <v>2984.9264</v>
      </c>
      <c r="K7" s="26">
        <v>-22.6854</v>
      </c>
      <c r="L7" s="26">
        <v>0.0</v>
      </c>
    </row>
    <row r="8" ht="14.25" customHeight="1">
      <c r="A8" s="31">
        <v>46236.625</v>
      </c>
      <c r="B8" s="26" t="s">
        <v>894</v>
      </c>
      <c r="C8" s="31">
        <v>46236.62847222222</v>
      </c>
      <c r="D8" s="26" t="s">
        <v>896</v>
      </c>
      <c r="E8" s="26" t="s">
        <v>904</v>
      </c>
      <c r="F8" s="26" t="s">
        <v>898</v>
      </c>
      <c r="G8" s="26">
        <v>0.0</v>
      </c>
      <c r="H8" s="26">
        <v>2844.6349</v>
      </c>
      <c r="I8" s="26">
        <v>1.0493</v>
      </c>
      <c r="J8" s="26">
        <v>2984.9264</v>
      </c>
      <c r="K8" s="26">
        <v>-140.2915</v>
      </c>
      <c r="L8" s="26">
        <v>0.0</v>
      </c>
    </row>
    <row r="9" ht="14.25" customHeight="1">
      <c r="A9" s="31">
        <v>46236.625</v>
      </c>
      <c r="B9" s="26" t="s">
        <v>894</v>
      </c>
      <c r="C9" s="31">
        <v>46236.62847222222</v>
      </c>
      <c r="D9" s="26" t="s">
        <v>896</v>
      </c>
      <c r="E9" s="26" t="s">
        <v>905</v>
      </c>
      <c r="F9" s="26" t="s">
        <v>898</v>
      </c>
      <c r="G9" s="26">
        <v>-7.55</v>
      </c>
      <c r="H9" s="26">
        <v>2844.6349</v>
      </c>
      <c r="I9" s="26">
        <v>1.0493</v>
      </c>
      <c r="J9" s="26">
        <v>2984.9264</v>
      </c>
      <c r="K9" s="26">
        <v>-140.2915</v>
      </c>
      <c r="L9" s="26">
        <v>0.0</v>
      </c>
    </row>
    <row r="10" ht="14.25" customHeight="1">
      <c r="A10" s="31">
        <v>46236.625</v>
      </c>
      <c r="B10" s="26" t="s">
        <v>894</v>
      </c>
      <c r="C10" s="31">
        <v>46236.62847222222</v>
      </c>
      <c r="D10" s="26" t="s">
        <v>896</v>
      </c>
      <c r="E10" s="26" t="s">
        <v>906</v>
      </c>
      <c r="F10" s="26" t="s">
        <v>898</v>
      </c>
      <c r="G10" s="26">
        <v>-0.11</v>
      </c>
      <c r="H10" s="26">
        <v>2844.6349</v>
      </c>
      <c r="I10" s="26">
        <v>1.0493</v>
      </c>
      <c r="J10" s="26">
        <v>2984.9264</v>
      </c>
      <c r="K10" s="26">
        <v>-140.2915</v>
      </c>
      <c r="L10" s="26">
        <v>0.0</v>
      </c>
    </row>
    <row r="11" ht="14.25" customHeight="1">
      <c r="A11" s="31">
        <v>46236.625</v>
      </c>
      <c r="B11" s="26" t="s">
        <v>894</v>
      </c>
      <c r="C11" s="31">
        <v>46236.62847222222</v>
      </c>
      <c r="D11" s="26" t="s">
        <v>896</v>
      </c>
      <c r="E11" s="26" t="s">
        <v>907</v>
      </c>
      <c r="F11" s="26" t="s">
        <v>898</v>
      </c>
      <c r="G11" s="26">
        <v>-0.43</v>
      </c>
      <c r="H11" s="26">
        <v>2844.6349</v>
      </c>
      <c r="I11" s="26">
        <v>1.0493</v>
      </c>
      <c r="J11" s="26">
        <v>2984.9264</v>
      </c>
      <c r="K11" s="26">
        <v>-140.2915</v>
      </c>
      <c r="L11" s="26">
        <v>0.0</v>
      </c>
    </row>
    <row r="12" ht="14.25" customHeight="1">
      <c r="A12" s="31">
        <v>46236.625</v>
      </c>
      <c r="B12" s="26" t="s">
        <v>894</v>
      </c>
      <c r="C12" s="31">
        <v>46236.62847222222</v>
      </c>
      <c r="D12" s="26" t="s">
        <v>896</v>
      </c>
      <c r="E12" s="26" t="s">
        <v>908</v>
      </c>
      <c r="F12" s="26" t="s">
        <v>898</v>
      </c>
      <c r="G12" s="26">
        <v>-5.83</v>
      </c>
      <c r="H12" s="26">
        <v>2844.6349</v>
      </c>
      <c r="I12" s="26">
        <v>1.0493</v>
      </c>
      <c r="J12" s="26">
        <v>2984.9264</v>
      </c>
      <c r="K12" s="26">
        <v>-140.2915</v>
      </c>
      <c r="L12" s="26">
        <v>0.0</v>
      </c>
    </row>
    <row r="13" ht="14.25" customHeight="1">
      <c r="A13" s="31">
        <v>46236.625</v>
      </c>
      <c r="B13" s="26" t="s">
        <v>894</v>
      </c>
      <c r="C13" s="31">
        <v>46236.62847222222</v>
      </c>
      <c r="D13" s="26" t="s">
        <v>896</v>
      </c>
      <c r="E13" s="26" t="s">
        <v>909</v>
      </c>
      <c r="F13" s="26" t="s">
        <v>898</v>
      </c>
      <c r="G13" s="26">
        <v>-0.17</v>
      </c>
      <c r="H13" s="26">
        <v>2844.6349</v>
      </c>
      <c r="I13" s="26">
        <v>1.0493</v>
      </c>
      <c r="J13" s="26">
        <v>2984.9264</v>
      </c>
      <c r="K13" s="26">
        <v>-140.2915</v>
      </c>
      <c r="L13" s="26">
        <v>0.0</v>
      </c>
    </row>
    <row r="14" ht="14.25" customHeight="1">
      <c r="A14" s="31">
        <v>46236.625</v>
      </c>
      <c r="B14" s="26" t="s">
        <v>894</v>
      </c>
      <c r="C14" s="31">
        <v>46236.62847222222</v>
      </c>
      <c r="D14" s="26" t="s">
        <v>896</v>
      </c>
      <c r="E14" s="26" t="s">
        <v>910</v>
      </c>
      <c r="F14" s="26" t="s">
        <v>898</v>
      </c>
      <c r="G14" s="26">
        <v>0.0</v>
      </c>
      <c r="H14" s="26">
        <v>2849.1123</v>
      </c>
      <c r="I14" s="26">
        <v>1.0477</v>
      </c>
      <c r="J14" s="26">
        <v>2984.9264</v>
      </c>
      <c r="K14" s="26">
        <v>-135.8142</v>
      </c>
      <c r="L14" s="26">
        <v>0.0</v>
      </c>
    </row>
    <row r="15" ht="14.25" customHeight="1">
      <c r="A15" s="31">
        <v>46236.625</v>
      </c>
      <c r="B15" s="26" t="s">
        <v>894</v>
      </c>
      <c r="C15" s="31">
        <v>46236.62847222222</v>
      </c>
      <c r="D15" s="26" t="s">
        <v>896</v>
      </c>
      <c r="E15" s="26" t="s">
        <v>911</v>
      </c>
      <c r="F15" s="26" t="s">
        <v>898</v>
      </c>
      <c r="G15" s="26">
        <v>0.0</v>
      </c>
      <c r="H15" s="26">
        <v>2910.3033</v>
      </c>
      <c r="I15" s="26">
        <v>1.0256</v>
      </c>
      <c r="J15" s="26">
        <v>2984.9264</v>
      </c>
      <c r="K15" s="26">
        <v>-74.6232</v>
      </c>
      <c r="L15" s="26">
        <v>0.0</v>
      </c>
    </row>
    <row r="16" ht="14.25" customHeight="1">
      <c r="A16" s="31">
        <v>46236.625</v>
      </c>
      <c r="B16" s="26" t="s">
        <v>894</v>
      </c>
      <c r="C16" s="31">
        <v>46236.62847222222</v>
      </c>
      <c r="D16" s="26" t="s">
        <v>896</v>
      </c>
      <c r="E16" s="26" t="s">
        <v>912</v>
      </c>
      <c r="F16" s="26" t="s">
        <v>898</v>
      </c>
      <c r="G16" s="26">
        <v>-8.57</v>
      </c>
      <c r="H16" s="26">
        <v>2911.7957</v>
      </c>
      <c r="I16" s="26">
        <v>1.0251</v>
      </c>
      <c r="J16" s="26">
        <v>2984.9264</v>
      </c>
      <c r="K16" s="26">
        <v>-73.1307</v>
      </c>
      <c r="L16" s="26">
        <v>0.0</v>
      </c>
    </row>
    <row r="17" ht="14.25" customHeight="1">
      <c r="A17" s="31">
        <v>46236.625</v>
      </c>
      <c r="B17" s="26" t="s">
        <v>894</v>
      </c>
      <c r="C17" s="31">
        <v>46236.62847222222</v>
      </c>
      <c r="D17" s="26" t="s">
        <v>896</v>
      </c>
      <c r="E17" s="26" t="s">
        <v>913</v>
      </c>
      <c r="F17" s="26" t="s">
        <v>898</v>
      </c>
      <c r="G17" s="26">
        <v>-24.86</v>
      </c>
      <c r="H17" s="26">
        <v>2911.7957</v>
      </c>
      <c r="I17" s="26">
        <v>1.0251</v>
      </c>
      <c r="J17" s="26">
        <v>2984.9264</v>
      </c>
      <c r="K17" s="26">
        <v>-73.1307</v>
      </c>
      <c r="L17" s="26">
        <v>0.0</v>
      </c>
    </row>
    <row r="18" ht="14.25" customHeight="1">
      <c r="A18" s="31">
        <v>46236.625</v>
      </c>
      <c r="B18" s="26" t="s">
        <v>894</v>
      </c>
      <c r="C18" s="31">
        <v>46236.62847222222</v>
      </c>
      <c r="D18" s="26" t="s">
        <v>896</v>
      </c>
      <c r="E18" s="26" t="s">
        <v>914</v>
      </c>
      <c r="F18" s="26" t="s">
        <v>898</v>
      </c>
      <c r="G18" s="26">
        <v>0.0</v>
      </c>
      <c r="H18" s="26">
        <v>2847.0228</v>
      </c>
      <c r="I18" s="26">
        <v>1.0484</v>
      </c>
      <c r="J18" s="26">
        <v>2984.9264</v>
      </c>
      <c r="K18" s="26">
        <v>-137.9036</v>
      </c>
      <c r="L18" s="26">
        <v>0.0</v>
      </c>
    </row>
    <row r="19" ht="14.25" customHeight="1">
      <c r="A19" s="31">
        <v>46236.625</v>
      </c>
      <c r="B19" s="26" t="s">
        <v>894</v>
      </c>
      <c r="C19" s="31">
        <v>46236.62847222222</v>
      </c>
      <c r="D19" s="26" t="s">
        <v>896</v>
      </c>
      <c r="E19" s="26" t="s">
        <v>915</v>
      </c>
      <c r="F19" s="26" t="s">
        <v>898</v>
      </c>
      <c r="G19" s="26">
        <v>0.0</v>
      </c>
      <c r="H19" s="26">
        <v>2849.4108</v>
      </c>
      <c r="I19" s="26">
        <v>1.0475</v>
      </c>
      <c r="J19" s="26">
        <v>2984.9264</v>
      </c>
      <c r="K19" s="26">
        <v>-135.5157</v>
      </c>
      <c r="L19" s="26">
        <v>0.0</v>
      </c>
    </row>
    <row r="20" ht="14.25" customHeight="1">
      <c r="A20" s="31">
        <v>46236.625</v>
      </c>
      <c r="B20" s="26" t="s">
        <v>894</v>
      </c>
      <c r="C20" s="31">
        <v>46236.62847222222</v>
      </c>
      <c r="D20" s="26" t="s">
        <v>896</v>
      </c>
      <c r="E20" s="26" t="s">
        <v>916</v>
      </c>
      <c r="F20" s="26" t="s">
        <v>898</v>
      </c>
      <c r="G20" s="26">
        <v>0.0</v>
      </c>
      <c r="H20" s="26">
        <v>2847.0228</v>
      </c>
      <c r="I20" s="26">
        <v>1.0484</v>
      </c>
      <c r="J20" s="26">
        <v>2984.9264</v>
      </c>
      <c r="K20" s="26">
        <v>-137.9036</v>
      </c>
      <c r="L20" s="26">
        <v>0.0</v>
      </c>
    </row>
    <row r="21" ht="14.25" customHeight="1">
      <c r="A21" s="31">
        <v>46236.625</v>
      </c>
      <c r="B21" s="26" t="s">
        <v>894</v>
      </c>
      <c r="C21" s="31">
        <v>46236.62847222222</v>
      </c>
      <c r="D21" s="26" t="s">
        <v>896</v>
      </c>
      <c r="E21" s="26" t="s">
        <v>917</v>
      </c>
      <c r="F21" s="26" t="s">
        <v>898</v>
      </c>
      <c r="G21" s="26">
        <v>-36.2</v>
      </c>
      <c r="H21" s="26">
        <v>2847.0228</v>
      </c>
      <c r="I21" s="26">
        <v>1.0484</v>
      </c>
      <c r="J21" s="26">
        <v>2984.9264</v>
      </c>
      <c r="K21" s="26">
        <v>-137.9036</v>
      </c>
      <c r="L21" s="26">
        <v>0.0</v>
      </c>
    </row>
    <row r="22" ht="14.25" customHeight="1">
      <c r="A22" s="31">
        <v>46236.625</v>
      </c>
      <c r="B22" s="26" t="s">
        <v>894</v>
      </c>
      <c r="C22" s="31">
        <v>46236.62847222222</v>
      </c>
      <c r="D22" s="26" t="s">
        <v>896</v>
      </c>
      <c r="E22" s="26" t="s">
        <v>918</v>
      </c>
      <c r="F22" s="26" t="s">
        <v>898</v>
      </c>
      <c r="G22" s="26">
        <v>0.0</v>
      </c>
      <c r="H22" s="26">
        <v>2943.1375</v>
      </c>
      <c r="I22" s="26">
        <v>1.0142</v>
      </c>
      <c r="J22" s="26">
        <v>2984.9264</v>
      </c>
      <c r="K22" s="26">
        <v>-41.789</v>
      </c>
      <c r="L22" s="26">
        <v>0.0</v>
      </c>
    </row>
    <row r="23" ht="14.25" customHeight="1">
      <c r="A23" s="31">
        <v>46236.625</v>
      </c>
      <c r="B23" s="26" t="s">
        <v>894</v>
      </c>
      <c r="C23" s="31">
        <v>46236.62847222222</v>
      </c>
      <c r="D23" s="26" t="s">
        <v>896</v>
      </c>
      <c r="E23" s="26" t="s">
        <v>919</v>
      </c>
      <c r="F23" s="26" t="s">
        <v>898</v>
      </c>
      <c r="G23" s="26">
        <v>0.0</v>
      </c>
      <c r="H23" s="26">
        <v>2961.644</v>
      </c>
      <c r="I23" s="26">
        <v>1.0079</v>
      </c>
      <c r="J23" s="26">
        <v>2984.9264</v>
      </c>
      <c r="K23" s="26">
        <v>-23.2824</v>
      </c>
      <c r="L23" s="26">
        <v>0.0</v>
      </c>
    </row>
    <row r="24" ht="14.25" customHeight="1">
      <c r="A24" s="31">
        <v>46236.625</v>
      </c>
      <c r="B24" s="26" t="s">
        <v>894</v>
      </c>
      <c r="C24" s="31">
        <v>46236.62847222222</v>
      </c>
      <c r="D24" s="26" t="s">
        <v>896</v>
      </c>
      <c r="E24" s="26" t="s">
        <v>920</v>
      </c>
      <c r="F24" s="26" t="s">
        <v>898</v>
      </c>
      <c r="G24" s="26">
        <v>0.0</v>
      </c>
      <c r="H24" s="26">
        <v>2924.0339</v>
      </c>
      <c r="I24" s="26">
        <v>1.0209</v>
      </c>
      <c r="J24" s="26">
        <v>2984.9264</v>
      </c>
      <c r="K24" s="26">
        <v>-60.8925</v>
      </c>
      <c r="L24" s="26">
        <v>0.0</v>
      </c>
    </row>
    <row r="25" ht="14.25" customHeight="1">
      <c r="A25" s="31">
        <v>46236.625</v>
      </c>
      <c r="B25" s="26" t="s">
        <v>894</v>
      </c>
      <c r="C25" s="31">
        <v>46236.62847222222</v>
      </c>
      <c r="D25" s="26" t="s">
        <v>896</v>
      </c>
      <c r="E25" s="26" t="s">
        <v>921</v>
      </c>
      <c r="F25" s="26" t="s">
        <v>898</v>
      </c>
      <c r="G25" s="26">
        <v>0.0</v>
      </c>
      <c r="H25" s="26">
        <v>2984.9264</v>
      </c>
      <c r="I25" s="26">
        <v>1.0</v>
      </c>
      <c r="J25" s="26">
        <v>2984.9264</v>
      </c>
      <c r="K25" s="26">
        <v>0.0</v>
      </c>
      <c r="L25" s="26">
        <v>0.0</v>
      </c>
    </row>
    <row r="26" ht="14.25" customHeight="1">
      <c r="A26" s="31">
        <v>46236.625</v>
      </c>
      <c r="B26" s="26" t="s">
        <v>894</v>
      </c>
      <c r="C26" s="31">
        <v>46236.62847222222</v>
      </c>
      <c r="D26" s="26" t="s">
        <v>896</v>
      </c>
      <c r="E26" s="26" t="s">
        <v>922</v>
      </c>
      <c r="F26" s="26" t="s">
        <v>898</v>
      </c>
      <c r="G26" s="26">
        <v>0.0</v>
      </c>
      <c r="H26" s="26">
        <v>2873.5887</v>
      </c>
      <c r="I26" s="26">
        <v>1.0387</v>
      </c>
      <c r="J26" s="26">
        <v>2984.9264</v>
      </c>
      <c r="K26" s="26">
        <v>-111.3378</v>
      </c>
      <c r="L26" s="26">
        <v>0.0</v>
      </c>
    </row>
    <row r="27" ht="14.25" customHeight="1">
      <c r="A27" s="31">
        <v>46236.625</v>
      </c>
      <c r="B27" s="26" t="s">
        <v>894</v>
      </c>
      <c r="C27" s="31">
        <v>46236.62847222222</v>
      </c>
      <c r="D27" s="26" t="s">
        <v>896</v>
      </c>
      <c r="E27" s="26" t="s">
        <v>923</v>
      </c>
      <c r="F27" s="26" t="s">
        <v>898</v>
      </c>
      <c r="G27" s="26">
        <v>0.0</v>
      </c>
      <c r="H27" s="26">
        <v>2984.9264</v>
      </c>
      <c r="I27" s="26">
        <v>1.0</v>
      </c>
      <c r="J27" s="26">
        <v>2984.9264</v>
      </c>
      <c r="K27" s="26">
        <v>0.0</v>
      </c>
      <c r="L27" s="26">
        <v>0.0</v>
      </c>
    </row>
    <row r="28" ht="14.25" customHeight="1">
      <c r="A28" s="31">
        <v>46236.625</v>
      </c>
      <c r="B28" s="26" t="s">
        <v>894</v>
      </c>
      <c r="C28" s="31">
        <v>46236.62847222222</v>
      </c>
      <c r="D28" s="26" t="s">
        <v>896</v>
      </c>
      <c r="E28" s="26" t="s">
        <v>924</v>
      </c>
      <c r="F28" s="26" t="s">
        <v>898</v>
      </c>
      <c r="G28" s="26">
        <v>0.0</v>
      </c>
      <c r="H28" s="26">
        <v>2830.9042</v>
      </c>
      <c r="I28" s="26">
        <v>1.0544</v>
      </c>
      <c r="J28" s="26">
        <v>2984.9264</v>
      </c>
      <c r="K28" s="26">
        <v>-154.0222</v>
      </c>
      <c r="L28" s="26">
        <v>0.0</v>
      </c>
    </row>
    <row r="29" ht="14.25" customHeight="1">
      <c r="A29" s="31">
        <v>46236.625</v>
      </c>
      <c r="B29" s="26" t="s">
        <v>894</v>
      </c>
      <c r="C29" s="31">
        <v>46236.62847222222</v>
      </c>
      <c r="D29" s="26" t="s">
        <v>896</v>
      </c>
      <c r="E29" s="26" t="s">
        <v>925</v>
      </c>
      <c r="F29" s="26" t="s">
        <v>898</v>
      </c>
      <c r="G29" s="26">
        <v>-9.43</v>
      </c>
      <c r="H29" s="26">
        <v>2831.5012</v>
      </c>
      <c r="I29" s="26">
        <v>1.0542</v>
      </c>
      <c r="J29" s="26">
        <v>2984.9264</v>
      </c>
      <c r="K29" s="26">
        <v>-153.4252</v>
      </c>
      <c r="L29" s="26">
        <v>0.0</v>
      </c>
    </row>
    <row r="30" ht="14.25" customHeight="1">
      <c r="A30" s="31">
        <v>46236.625</v>
      </c>
      <c r="B30" s="26" t="s">
        <v>894</v>
      </c>
      <c r="C30" s="31">
        <v>46236.62847222222</v>
      </c>
      <c r="D30" s="26" t="s">
        <v>896</v>
      </c>
      <c r="E30" s="26" t="s">
        <v>926</v>
      </c>
      <c r="F30" s="26" t="s">
        <v>898</v>
      </c>
      <c r="G30" s="26">
        <v>0.0</v>
      </c>
      <c r="H30" s="26">
        <v>2849.4108</v>
      </c>
      <c r="I30" s="26">
        <v>1.0475</v>
      </c>
      <c r="J30" s="26">
        <v>2984.9264</v>
      </c>
      <c r="K30" s="26">
        <v>-135.5157</v>
      </c>
      <c r="L30" s="26">
        <v>0.0</v>
      </c>
    </row>
    <row r="31" ht="14.25" customHeight="1">
      <c r="A31" s="31">
        <v>46236.625</v>
      </c>
      <c r="B31" s="26" t="s">
        <v>894</v>
      </c>
      <c r="C31" s="31">
        <v>46236.62847222222</v>
      </c>
      <c r="D31" s="26" t="s">
        <v>896</v>
      </c>
      <c r="E31" s="26" t="s">
        <v>927</v>
      </c>
      <c r="F31" s="26" t="s">
        <v>898</v>
      </c>
      <c r="G31" s="26">
        <v>-12.2</v>
      </c>
      <c r="H31" s="26">
        <v>2943.1375</v>
      </c>
      <c r="I31" s="26">
        <v>1.0142</v>
      </c>
      <c r="J31" s="26">
        <v>2984.9264</v>
      </c>
      <c r="K31" s="26">
        <v>-41.789</v>
      </c>
      <c r="L31" s="26">
        <v>0.0</v>
      </c>
    </row>
    <row r="32" ht="14.25" customHeight="1">
      <c r="A32" s="31">
        <v>46236.625</v>
      </c>
      <c r="B32" s="26" t="s">
        <v>894</v>
      </c>
      <c r="C32" s="31">
        <v>46236.62847222222</v>
      </c>
      <c r="D32" s="26" t="s">
        <v>896</v>
      </c>
      <c r="E32" s="26" t="s">
        <v>928</v>
      </c>
      <c r="F32" s="26" t="s">
        <v>898</v>
      </c>
      <c r="G32" s="26">
        <v>0.0</v>
      </c>
      <c r="H32" s="26">
        <v>2851.7987</v>
      </c>
      <c r="I32" s="26">
        <v>1.0467</v>
      </c>
      <c r="J32" s="26">
        <v>2984.9264</v>
      </c>
      <c r="K32" s="26">
        <v>-133.1277</v>
      </c>
      <c r="L32" s="26">
        <v>0.0</v>
      </c>
    </row>
    <row r="33" ht="14.25" customHeight="1">
      <c r="A33" s="31">
        <v>46236.625</v>
      </c>
      <c r="B33" s="26" t="s">
        <v>894</v>
      </c>
      <c r="C33" s="31">
        <v>46236.62847222222</v>
      </c>
      <c r="D33" s="26" t="s">
        <v>896</v>
      </c>
      <c r="E33" s="26" t="s">
        <v>929</v>
      </c>
      <c r="F33" s="26" t="s">
        <v>898</v>
      </c>
      <c r="G33" s="26">
        <v>-67.67</v>
      </c>
      <c r="H33" s="26">
        <v>2997.4631</v>
      </c>
      <c r="I33" s="26">
        <v>0.9958</v>
      </c>
      <c r="J33" s="26">
        <v>2984.9264</v>
      </c>
      <c r="K33" s="26">
        <v>12.5367</v>
      </c>
      <c r="L33" s="26">
        <v>0.0</v>
      </c>
    </row>
    <row r="34" ht="14.25" customHeight="1">
      <c r="A34" s="31">
        <v>46236.625</v>
      </c>
      <c r="B34" s="26" t="s">
        <v>894</v>
      </c>
      <c r="C34" s="31">
        <v>46236.62847222222</v>
      </c>
      <c r="D34" s="26" t="s">
        <v>896</v>
      </c>
      <c r="E34" s="26" t="s">
        <v>930</v>
      </c>
      <c r="F34" s="26" t="s">
        <v>898</v>
      </c>
      <c r="G34" s="26">
        <v>-71.39</v>
      </c>
      <c r="H34" s="26">
        <v>2997.4631</v>
      </c>
      <c r="I34" s="26">
        <v>0.9959</v>
      </c>
      <c r="J34" s="26">
        <v>2984.9264</v>
      </c>
      <c r="K34" s="26">
        <v>12.5367</v>
      </c>
      <c r="L34" s="26">
        <v>0.0</v>
      </c>
    </row>
    <row r="35" ht="14.25" customHeight="1">
      <c r="A35" s="31">
        <v>46236.625</v>
      </c>
      <c r="B35" s="26" t="s">
        <v>894</v>
      </c>
      <c r="C35" s="31">
        <v>46236.62847222222</v>
      </c>
      <c r="D35" s="26" t="s">
        <v>896</v>
      </c>
      <c r="E35" s="26" t="s">
        <v>931</v>
      </c>
      <c r="F35" s="26" t="s">
        <v>898</v>
      </c>
      <c r="G35" s="26">
        <v>-59.28</v>
      </c>
      <c r="H35" s="26">
        <v>2997.1646</v>
      </c>
      <c r="I35" s="26">
        <v>0.9959</v>
      </c>
      <c r="J35" s="26">
        <v>2984.9264</v>
      </c>
      <c r="K35" s="26">
        <v>12.2382</v>
      </c>
      <c r="L35" s="26">
        <v>0.0</v>
      </c>
    </row>
    <row r="36" ht="14.25" customHeight="1">
      <c r="A36" s="31">
        <v>46236.625</v>
      </c>
      <c r="B36" s="26" t="s">
        <v>894</v>
      </c>
      <c r="C36" s="31">
        <v>46236.62847222222</v>
      </c>
      <c r="D36" s="26" t="s">
        <v>896</v>
      </c>
      <c r="E36" s="26" t="s">
        <v>932</v>
      </c>
      <c r="F36" s="26" t="s">
        <v>898</v>
      </c>
      <c r="G36" s="26">
        <v>0.0</v>
      </c>
      <c r="H36" s="26">
        <v>2975.9717</v>
      </c>
      <c r="I36" s="26">
        <v>1.003</v>
      </c>
      <c r="J36" s="26">
        <v>2984.9264</v>
      </c>
      <c r="K36" s="26">
        <v>-8.9548</v>
      </c>
      <c r="L36" s="26">
        <v>0.0</v>
      </c>
    </row>
    <row r="37" ht="14.25" customHeight="1">
      <c r="A37" s="31">
        <v>46236.625</v>
      </c>
      <c r="B37" s="26" t="s">
        <v>894</v>
      </c>
      <c r="C37" s="31">
        <v>46236.62847222222</v>
      </c>
      <c r="D37" s="26" t="s">
        <v>896</v>
      </c>
      <c r="E37" s="26" t="s">
        <v>933</v>
      </c>
      <c r="F37" s="26" t="s">
        <v>898</v>
      </c>
      <c r="G37" s="26">
        <v>0.0</v>
      </c>
      <c r="H37" s="26">
        <v>2984.9264</v>
      </c>
      <c r="I37" s="26">
        <v>1.0</v>
      </c>
      <c r="J37" s="26">
        <v>2984.9264</v>
      </c>
      <c r="K37" s="26">
        <v>0.0</v>
      </c>
      <c r="L37" s="26">
        <v>0.0</v>
      </c>
    </row>
    <row r="38" ht="14.25" customHeight="1">
      <c r="A38" s="31">
        <v>46236.625</v>
      </c>
      <c r="B38" s="26" t="s">
        <v>894</v>
      </c>
      <c r="C38" s="31">
        <v>46236.62847222222</v>
      </c>
      <c r="D38" s="26" t="s">
        <v>896</v>
      </c>
      <c r="E38" s="26" t="s">
        <v>934</v>
      </c>
      <c r="F38" s="26" t="s">
        <v>898</v>
      </c>
      <c r="G38" s="26">
        <v>0.0</v>
      </c>
      <c r="H38" s="26">
        <v>2984.9264</v>
      </c>
      <c r="I38" s="26">
        <v>1.0</v>
      </c>
      <c r="J38" s="26">
        <v>2984.9264</v>
      </c>
      <c r="K38" s="26">
        <v>0.0</v>
      </c>
      <c r="L38" s="26">
        <v>0.0</v>
      </c>
    </row>
    <row r="39" ht="14.25" customHeight="1">
      <c r="A39" s="31">
        <v>46236.625</v>
      </c>
      <c r="B39" s="26" t="s">
        <v>894</v>
      </c>
      <c r="C39" s="31">
        <v>46236.62847222222</v>
      </c>
      <c r="D39" s="26" t="s">
        <v>896</v>
      </c>
      <c r="E39" s="26" t="s">
        <v>935</v>
      </c>
      <c r="F39" s="26" t="s">
        <v>898</v>
      </c>
      <c r="G39" s="26">
        <v>0.0</v>
      </c>
      <c r="H39" s="26">
        <v>2992.9857</v>
      </c>
      <c r="I39" s="26">
        <v>0.9973</v>
      </c>
      <c r="J39" s="26">
        <v>2984.9264</v>
      </c>
      <c r="K39" s="26">
        <v>8.0593</v>
      </c>
      <c r="L39" s="26">
        <v>0.0</v>
      </c>
    </row>
    <row r="40" ht="14.25" customHeight="1">
      <c r="A40" s="31">
        <v>46236.625</v>
      </c>
      <c r="B40" s="26" t="s">
        <v>894</v>
      </c>
      <c r="C40" s="31">
        <v>46236.62847222222</v>
      </c>
      <c r="D40" s="26" t="s">
        <v>896</v>
      </c>
      <c r="E40" s="26" t="s">
        <v>936</v>
      </c>
      <c r="F40" s="26" t="s">
        <v>898</v>
      </c>
      <c r="G40" s="26">
        <v>-20.5</v>
      </c>
      <c r="H40" s="26">
        <v>2973.5837</v>
      </c>
      <c r="I40" s="26">
        <v>1.0038</v>
      </c>
      <c r="J40" s="26">
        <v>2984.9264</v>
      </c>
      <c r="K40" s="26">
        <v>-11.3427</v>
      </c>
      <c r="L40" s="26">
        <v>0.0</v>
      </c>
    </row>
    <row r="41" ht="14.25" customHeight="1">
      <c r="A41" s="31">
        <v>46236.625</v>
      </c>
      <c r="B41" s="26" t="s">
        <v>894</v>
      </c>
      <c r="C41" s="31">
        <v>46236.62847222222</v>
      </c>
      <c r="D41" s="26" t="s">
        <v>896</v>
      </c>
      <c r="E41" s="26" t="s">
        <v>937</v>
      </c>
      <c r="F41" s="26" t="s">
        <v>898</v>
      </c>
      <c r="G41" s="26">
        <v>0.0</v>
      </c>
      <c r="H41" s="26">
        <v>2984.9264</v>
      </c>
      <c r="I41" s="26">
        <v>1.0</v>
      </c>
      <c r="J41" s="26">
        <v>2984.9264</v>
      </c>
      <c r="K41" s="26">
        <v>0.0</v>
      </c>
      <c r="L41" s="26">
        <v>0.0</v>
      </c>
    </row>
    <row r="42" ht="14.25" customHeight="1">
      <c r="A42" s="31">
        <v>46236.625</v>
      </c>
      <c r="B42" s="26" t="s">
        <v>894</v>
      </c>
      <c r="C42" s="31">
        <v>46236.62847222222</v>
      </c>
      <c r="D42" s="26" t="s">
        <v>896</v>
      </c>
      <c r="E42" s="26" t="s">
        <v>938</v>
      </c>
      <c r="F42" s="26" t="s">
        <v>898</v>
      </c>
      <c r="G42" s="26">
        <v>-14.65</v>
      </c>
      <c r="H42" s="26">
        <v>2985.2249</v>
      </c>
      <c r="I42" s="26">
        <v>0.9999</v>
      </c>
      <c r="J42" s="26">
        <v>2984.9264</v>
      </c>
      <c r="K42" s="26">
        <v>0.2985</v>
      </c>
      <c r="L42" s="26">
        <v>0.0</v>
      </c>
    </row>
    <row r="43" ht="14.25" customHeight="1">
      <c r="A43" s="31">
        <v>46236.625</v>
      </c>
      <c r="B43" s="26" t="s">
        <v>894</v>
      </c>
      <c r="C43" s="31">
        <v>46236.62847222222</v>
      </c>
      <c r="D43" s="26" t="s">
        <v>896</v>
      </c>
      <c r="E43" s="26" t="s">
        <v>939</v>
      </c>
      <c r="F43" s="26" t="s">
        <v>898</v>
      </c>
      <c r="G43" s="26">
        <v>0.0</v>
      </c>
      <c r="H43" s="26">
        <v>2975.9717</v>
      </c>
      <c r="I43" s="26">
        <v>1.003</v>
      </c>
      <c r="J43" s="26">
        <v>2984.9264</v>
      </c>
      <c r="K43" s="26">
        <v>-8.9548</v>
      </c>
      <c r="L43" s="26">
        <v>0.0</v>
      </c>
    </row>
    <row r="44" ht="14.25" customHeight="1">
      <c r="A44" s="31">
        <v>46236.625</v>
      </c>
      <c r="B44" s="26" t="s">
        <v>894</v>
      </c>
      <c r="C44" s="31">
        <v>46236.62847222222</v>
      </c>
      <c r="D44" s="26" t="s">
        <v>896</v>
      </c>
      <c r="E44" s="26" t="s">
        <v>940</v>
      </c>
      <c r="F44" s="26" t="s">
        <v>898</v>
      </c>
      <c r="G44" s="26">
        <v>-35.03</v>
      </c>
      <c r="H44" s="26">
        <v>2979.5536</v>
      </c>
      <c r="I44" s="26">
        <v>1.0018</v>
      </c>
      <c r="J44" s="26">
        <v>2984.9264</v>
      </c>
      <c r="K44" s="26">
        <v>-5.3729</v>
      </c>
      <c r="L44" s="26">
        <v>0.0</v>
      </c>
    </row>
    <row r="45" ht="14.25" customHeight="1">
      <c r="A45" s="31">
        <v>46236.625</v>
      </c>
      <c r="B45" s="26" t="s">
        <v>894</v>
      </c>
      <c r="C45" s="31">
        <v>46236.62847222222</v>
      </c>
      <c r="D45" s="26" t="s">
        <v>896</v>
      </c>
      <c r="E45" s="26" t="s">
        <v>941</v>
      </c>
      <c r="F45" s="26" t="s">
        <v>898</v>
      </c>
      <c r="G45" s="26">
        <v>-23.54</v>
      </c>
      <c r="H45" s="26">
        <v>2979.5536</v>
      </c>
      <c r="I45" s="26">
        <v>1.0018</v>
      </c>
      <c r="J45" s="26">
        <v>2984.9264</v>
      </c>
      <c r="K45" s="26">
        <v>-5.3729</v>
      </c>
      <c r="L45" s="26">
        <v>0.0</v>
      </c>
    </row>
    <row r="46" ht="14.25" customHeight="1">
      <c r="A46" s="31">
        <v>46236.625</v>
      </c>
      <c r="B46" s="26" t="s">
        <v>894</v>
      </c>
      <c r="C46" s="31">
        <v>46236.62847222222</v>
      </c>
      <c r="D46" s="26" t="s">
        <v>896</v>
      </c>
      <c r="E46" s="26" t="s">
        <v>942</v>
      </c>
      <c r="F46" s="26" t="s">
        <v>898</v>
      </c>
      <c r="G46" s="26">
        <v>0.0</v>
      </c>
      <c r="H46" s="26">
        <v>2915.9746</v>
      </c>
      <c r="I46" s="26">
        <v>1.0236</v>
      </c>
      <c r="J46" s="26">
        <v>2984.9264</v>
      </c>
      <c r="K46" s="26">
        <v>-68.9518</v>
      </c>
      <c r="L46" s="26">
        <v>0.0</v>
      </c>
    </row>
    <row r="47" ht="14.25" customHeight="1">
      <c r="A47" s="31">
        <v>46236.625</v>
      </c>
      <c r="B47" s="26" t="s">
        <v>894</v>
      </c>
      <c r="C47" s="31">
        <v>46236.62847222222</v>
      </c>
      <c r="D47" s="26" t="s">
        <v>896</v>
      </c>
      <c r="E47" s="26" t="s">
        <v>943</v>
      </c>
      <c r="F47" s="26" t="s">
        <v>898</v>
      </c>
      <c r="G47" s="26">
        <v>-0.74</v>
      </c>
      <c r="H47" s="26">
        <v>2973.8822</v>
      </c>
      <c r="I47" s="26">
        <v>1.0037</v>
      </c>
      <c r="J47" s="26">
        <v>2984.9264</v>
      </c>
      <c r="K47" s="26">
        <v>-11.0442</v>
      </c>
      <c r="L47" s="26">
        <v>0.0</v>
      </c>
    </row>
    <row r="48" ht="14.25" customHeight="1">
      <c r="A48" s="31">
        <v>46236.625</v>
      </c>
      <c r="B48" s="26" t="s">
        <v>894</v>
      </c>
      <c r="C48" s="31">
        <v>46236.62847222222</v>
      </c>
      <c r="D48" s="26" t="s">
        <v>896</v>
      </c>
      <c r="E48" s="26" t="s">
        <v>944</v>
      </c>
      <c r="F48" s="26" t="s">
        <v>898</v>
      </c>
      <c r="G48" s="26">
        <v>0.0</v>
      </c>
      <c r="H48" s="26">
        <v>2967.6139</v>
      </c>
      <c r="I48" s="26">
        <v>1.0058</v>
      </c>
      <c r="J48" s="26">
        <v>2984.9264</v>
      </c>
      <c r="K48" s="26">
        <v>-17.3126</v>
      </c>
      <c r="L48" s="26">
        <v>0.0</v>
      </c>
    </row>
    <row r="49" ht="14.25" customHeight="1">
      <c r="A49" s="31">
        <v>46236.625</v>
      </c>
      <c r="B49" s="26" t="s">
        <v>894</v>
      </c>
      <c r="C49" s="31">
        <v>46236.62847222222</v>
      </c>
      <c r="D49" s="26" t="s">
        <v>896</v>
      </c>
      <c r="E49" s="26" t="s">
        <v>945</v>
      </c>
      <c r="F49" s="26" t="s">
        <v>898</v>
      </c>
      <c r="G49" s="26">
        <v>0.0</v>
      </c>
      <c r="H49" s="26">
        <v>2983.1355</v>
      </c>
      <c r="I49" s="26">
        <v>1.0006</v>
      </c>
      <c r="J49" s="26">
        <v>2984.9264</v>
      </c>
      <c r="K49" s="26">
        <v>-1.791</v>
      </c>
      <c r="L49" s="26">
        <v>0.0</v>
      </c>
    </row>
    <row r="50" ht="14.25" customHeight="1">
      <c r="A50" s="31">
        <v>46236.625</v>
      </c>
      <c r="B50" s="26" t="s">
        <v>894</v>
      </c>
      <c r="C50" s="31">
        <v>46236.62847222222</v>
      </c>
      <c r="D50" s="26" t="s">
        <v>896</v>
      </c>
      <c r="E50" s="26" t="s">
        <v>946</v>
      </c>
      <c r="F50" s="26" t="s">
        <v>898</v>
      </c>
      <c r="G50" s="26">
        <v>-6.88</v>
      </c>
      <c r="H50" s="26">
        <v>2983.1355</v>
      </c>
      <c r="I50" s="26">
        <v>1.0006</v>
      </c>
      <c r="J50" s="26">
        <v>2984.9264</v>
      </c>
      <c r="K50" s="26">
        <v>-1.791</v>
      </c>
      <c r="L50" s="26">
        <v>0.0</v>
      </c>
    </row>
    <row r="51" ht="14.25" customHeight="1">
      <c r="A51" s="31">
        <v>46236.625</v>
      </c>
      <c r="B51" s="26" t="s">
        <v>894</v>
      </c>
      <c r="C51" s="31">
        <v>46236.62847222222</v>
      </c>
      <c r="D51" s="26" t="s">
        <v>896</v>
      </c>
      <c r="E51" s="26" t="s">
        <v>947</v>
      </c>
      <c r="F51" s="26" t="s">
        <v>898</v>
      </c>
      <c r="G51" s="26">
        <v>0.0</v>
      </c>
      <c r="H51" s="26">
        <v>3010.2983</v>
      </c>
      <c r="I51" s="26">
        <v>0.9916</v>
      </c>
      <c r="J51" s="26">
        <v>2984.9264</v>
      </c>
      <c r="K51" s="26">
        <v>25.3719</v>
      </c>
      <c r="L51" s="26">
        <v>0.0</v>
      </c>
    </row>
    <row r="52" ht="14.25" customHeight="1">
      <c r="A52" s="31">
        <v>46236.625</v>
      </c>
      <c r="B52" s="26" t="s">
        <v>894</v>
      </c>
      <c r="C52" s="31">
        <v>46236.62847222222</v>
      </c>
      <c r="D52" s="26" t="s">
        <v>896</v>
      </c>
      <c r="E52" s="26" t="s">
        <v>948</v>
      </c>
      <c r="F52" s="26" t="s">
        <v>898</v>
      </c>
      <c r="G52" s="26">
        <v>-99.4</v>
      </c>
      <c r="H52" s="26">
        <v>3010.5968</v>
      </c>
      <c r="I52" s="26">
        <v>0.9914</v>
      </c>
      <c r="J52" s="26">
        <v>2984.9264</v>
      </c>
      <c r="K52" s="26">
        <v>25.6704</v>
      </c>
      <c r="L52" s="26">
        <v>0.0</v>
      </c>
    </row>
    <row r="53" ht="14.25" customHeight="1">
      <c r="A53" s="31">
        <v>46236.625</v>
      </c>
      <c r="B53" s="26" t="s">
        <v>894</v>
      </c>
      <c r="C53" s="31">
        <v>46236.62847222222</v>
      </c>
      <c r="D53" s="26" t="s">
        <v>896</v>
      </c>
      <c r="E53" s="26" t="s">
        <v>949</v>
      </c>
      <c r="F53" s="26" t="s">
        <v>898</v>
      </c>
      <c r="G53" s="26">
        <v>0.0</v>
      </c>
      <c r="H53" s="26">
        <v>3008.2089</v>
      </c>
      <c r="I53" s="26">
        <v>0.9923</v>
      </c>
      <c r="J53" s="26">
        <v>2984.9264</v>
      </c>
      <c r="K53" s="26">
        <v>23.2824</v>
      </c>
      <c r="L53" s="26">
        <v>0.0</v>
      </c>
    </row>
    <row r="54" ht="14.25" customHeight="1">
      <c r="A54" s="31">
        <v>46236.625</v>
      </c>
      <c r="B54" s="26" t="s">
        <v>894</v>
      </c>
      <c r="C54" s="31">
        <v>46236.62847222222</v>
      </c>
      <c r="D54" s="26" t="s">
        <v>896</v>
      </c>
      <c r="E54" s="26" t="s">
        <v>950</v>
      </c>
      <c r="F54" s="26" t="s">
        <v>898</v>
      </c>
      <c r="G54" s="26">
        <v>-7.68</v>
      </c>
      <c r="H54" s="26">
        <v>3008.5074</v>
      </c>
      <c r="I54" s="26">
        <v>0.9921</v>
      </c>
      <c r="J54" s="26">
        <v>2984.9264</v>
      </c>
      <c r="K54" s="26">
        <v>23.5809</v>
      </c>
      <c r="L54" s="26">
        <v>0.0</v>
      </c>
    </row>
    <row r="55" ht="14.25" customHeight="1">
      <c r="A55" s="31">
        <v>46236.625</v>
      </c>
      <c r="B55" s="26" t="s">
        <v>894</v>
      </c>
      <c r="C55" s="31">
        <v>46236.62847222222</v>
      </c>
      <c r="D55" s="26" t="s">
        <v>896</v>
      </c>
      <c r="E55" s="26" t="s">
        <v>951</v>
      </c>
      <c r="F55" s="26" t="s">
        <v>898</v>
      </c>
      <c r="G55" s="26">
        <v>0.0</v>
      </c>
      <c r="H55" s="26">
        <v>2984.9264</v>
      </c>
      <c r="I55" s="26">
        <v>1.0</v>
      </c>
      <c r="J55" s="26">
        <v>2984.9264</v>
      </c>
      <c r="K55" s="26">
        <v>0.0</v>
      </c>
      <c r="L55" s="26">
        <v>0.0</v>
      </c>
    </row>
    <row r="56" ht="14.25" customHeight="1">
      <c r="A56" s="31">
        <v>46236.625</v>
      </c>
      <c r="B56" s="26" t="s">
        <v>894</v>
      </c>
      <c r="C56" s="31">
        <v>46236.62847222222</v>
      </c>
      <c r="D56" s="26" t="s">
        <v>896</v>
      </c>
      <c r="E56" s="26" t="s">
        <v>952</v>
      </c>
      <c r="F56" s="26" t="s">
        <v>898</v>
      </c>
      <c r="G56" s="26">
        <v>-5.83</v>
      </c>
      <c r="H56" s="26">
        <v>3008.5074</v>
      </c>
      <c r="I56" s="26">
        <v>0.9921</v>
      </c>
      <c r="J56" s="26">
        <v>2984.9264</v>
      </c>
      <c r="K56" s="26">
        <v>23.5809</v>
      </c>
      <c r="L56" s="26">
        <v>0.0</v>
      </c>
    </row>
    <row r="57" ht="14.25" customHeight="1">
      <c r="A57" s="31">
        <v>46236.625</v>
      </c>
      <c r="B57" s="26" t="s">
        <v>894</v>
      </c>
      <c r="C57" s="31">
        <v>46236.62847222222</v>
      </c>
      <c r="D57" s="26" t="s">
        <v>896</v>
      </c>
      <c r="E57" s="26" t="s">
        <v>953</v>
      </c>
      <c r="F57" s="26" t="s">
        <v>898</v>
      </c>
      <c r="G57" s="26">
        <v>-59.15</v>
      </c>
      <c r="H57" s="26">
        <v>3008.5074</v>
      </c>
      <c r="I57" s="26">
        <v>0.9921</v>
      </c>
      <c r="J57" s="26">
        <v>2984.9264</v>
      </c>
      <c r="K57" s="26">
        <v>23.5809</v>
      </c>
      <c r="L57" s="26">
        <v>0.0</v>
      </c>
    </row>
    <row r="58" ht="14.25" customHeight="1">
      <c r="A58" s="31">
        <v>46236.625</v>
      </c>
      <c r="B58" s="26" t="s">
        <v>894</v>
      </c>
      <c r="C58" s="31">
        <v>46236.62847222222</v>
      </c>
      <c r="D58" s="26" t="s">
        <v>896</v>
      </c>
      <c r="E58" s="26" t="s">
        <v>954</v>
      </c>
      <c r="F58" s="26" t="s">
        <v>898</v>
      </c>
      <c r="G58" s="26">
        <v>0.0</v>
      </c>
      <c r="H58" s="26">
        <v>2984.9264</v>
      </c>
      <c r="I58" s="26">
        <v>1.0</v>
      </c>
      <c r="J58" s="26">
        <v>2984.9264</v>
      </c>
      <c r="K58" s="26">
        <v>0.0</v>
      </c>
      <c r="L58" s="26">
        <v>0.0</v>
      </c>
    </row>
    <row r="59" ht="14.25" customHeight="1">
      <c r="A59" s="31">
        <v>46236.625</v>
      </c>
      <c r="B59" s="26" t="s">
        <v>894</v>
      </c>
      <c r="C59" s="31">
        <v>46236.62847222222</v>
      </c>
      <c r="D59" s="26" t="s">
        <v>896</v>
      </c>
      <c r="E59" s="26" t="s">
        <v>955</v>
      </c>
      <c r="F59" s="26" t="s">
        <v>898</v>
      </c>
      <c r="G59" s="26">
        <v>0.0</v>
      </c>
      <c r="H59" s="26">
        <v>2984.9264</v>
      </c>
      <c r="I59" s="26">
        <v>1.0</v>
      </c>
      <c r="J59" s="26">
        <v>2984.9264</v>
      </c>
      <c r="K59" s="26">
        <v>0.0</v>
      </c>
      <c r="L59" s="26">
        <v>0.0</v>
      </c>
    </row>
    <row r="60" ht="14.25" customHeight="1">
      <c r="A60" s="31">
        <v>46236.625</v>
      </c>
      <c r="B60" s="26" t="s">
        <v>894</v>
      </c>
      <c r="C60" s="31">
        <v>46236.62847222222</v>
      </c>
      <c r="D60" s="26" t="s">
        <v>896</v>
      </c>
      <c r="E60" s="26" t="s">
        <v>956</v>
      </c>
      <c r="F60" s="26" t="s">
        <v>898</v>
      </c>
      <c r="G60" s="26">
        <v>-66.0</v>
      </c>
      <c r="H60" s="26">
        <v>2995.3737</v>
      </c>
      <c r="I60" s="26">
        <v>0.9965</v>
      </c>
      <c r="J60" s="26">
        <v>2984.9264</v>
      </c>
      <c r="K60" s="26">
        <v>10.4472</v>
      </c>
      <c r="L60" s="26">
        <v>0.0</v>
      </c>
    </row>
    <row r="61" ht="14.25" customHeight="1">
      <c r="A61" s="31">
        <v>46236.625</v>
      </c>
      <c r="B61" s="26" t="s">
        <v>894</v>
      </c>
      <c r="C61" s="31">
        <v>46236.62847222222</v>
      </c>
      <c r="D61" s="26" t="s">
        <v>896</v>
      </c>
      <c r="E61" s="26" t="s">
        <v>957</v>
      </c>
      <c r="F61" s="26" t="s">
        <v>898</v>
      </c>
      <c r="G61" s="26">
        <v>-18.48</v>
      </c>
      <c r="H61" s="26">
        <v>2984.9264</v>
      </c>
      <c r="I61" s="26">
        <v>1.0</v>
      </c>
      <c r="J61" s="26">
        <v>2984.9264</v>
      </c>
      <c r="K61" s="26">
        <v>0.0</v>
      </c>
      <c r="L61" s="26">
        <v>0.0</v>
      </c>
    </row>
    <row r="62" ht="14.25" customHeight="1">
      <c r="A62" s="31">
        <v>46236.625</v>
      </c>
      <c r="B62" s="26" t="s">
        <v>894</v>
      </c>
      <c r="C62" s="31">
        <v>46236.62847222222</v>
      </c>
      <c r="D62" s="26" t="s">
        <v>896</v>
      </c>
      <c r="E62" s="26" t="s">
        <v>958</v>
      </c>
      <c r="F62" s="26" t="s">
        <v>898</v>
      </c>
      <c r="G62" s="26">
        <v>-10.3</v>
      </c>
      <c r="H62" s="26">
        <v>2984.9264</v>
      </c>
      <c r="I62" s="26">
        <v>1.0</v>
      </c>
      <c r="J62" s="26">
        <v>2984.9264</v>
      </c>
      <c r="K62" s="26">
        <v>0.0</v>
      </c>
      <c r="L62" s="26">
        <v>0.0</v>
      </c>
    </row>
    <row r="63" ht="14.25" customHeight="1">
      <c r="A63" s="31">
        <v>46236.625</v>
      </c>
      <c r="B63" s="26" t="s">
        <v>894</v>
      </c>
      <c r="C63" s="31">
        <v>46236.62847222222</v>
      </c>
      <c r="D63" s="26" t="s">
        <v>896</v>
      </c>
      <c r="E63" s="26" t="s">
        <v>959</v>
      </c>
      <c r="F63" s="26" t="s">
        <v>898</v>
      </c>
      <c r="G63" s="26">
        <v>-145.98</v>
      </c>
      <c r="H63" s="26">
        <v>3004.9254</v>
      </c>
      <c r="I63" s="26">
        <v>0.9934</v>
      </c>
      <c r="J63" s="26">
        <v>2984.9264</v>
      </c>
      <c r="K63" s="26">
        <v>19.999</v>
      </c>
      <c r="L63" s="26">
        <v>0.0</v>
      </c>
    </row>
    <row r="64" ht="14.25" customHeight="1">
      <c r="A64" s="31">
        <v>46236.625</v>
      </c>
      <c r="B64" s="26" t="s">
        <v>894</v>
      </c>
      <c r="C64" s="31">
        <v>46236.62847222222</v>
      </c>
      <c r="D64" s="26" t="s">
        <v>896</v>
      </c>
      <c r="E64" s="26" t="s">
        <v>960</v>
      </c>
      <c r="F64" s="26" t="s">
        <v>898</v>
      </c>
      <c r="G64" s="26">
        <v>-4.01</v>
      </c>
      <c r="H64" s="26">
        <v>2943.436</v>
      </c>
      <c r="I64" s="26">
        <v>1.0141</v>
      </c>
      <c r="J64" s="26">
        <v>2984.9264</v>
      </c>
      <c r="K64" s="26">
        <v>-41.4905</v>
      </c>
      <c r="L64" s="26">
        <v>0.0</v>
      </c>
    </row>
    <row r="65" ht="14.25" customHeight="1">
      <c r="A65" s="31">
        <v>46236.625</v>
      </c>
      <c r="B65" s="26" t="s">
        <v>894</v>
      </c>
      <c r="C65" s="31">
        <v>46236.62847222222</v>
      </c>
      <c r="D65" s="26" t="s">
        <v>896</v>
      </c>
      <c r="E65" s="26" t="s">
        <v>961</v>
      </c>
      <c r="F65" s="26" t="s">
        <v>898</v>
      </c>
      <c r="G65" s="26">
        <v>0.0</v>
      </c>
      <c r="H65" s="26">
        <v>2984.9264</v>
      </c>
      <c r="I65" s="26">
        <v>1.0</v>
      </c>
      <c r="J65" s="26">
        <v>2984.9264</v>
      </c>
      <c r="K65" s="26">
        <v>0.0</v>
      </c>
      <c r="L65" s="26">
        <v>0.0</v>
      </c>
    </row>
    <row r="66" ht="14.25" customHeight="1">
      <c r="A66" s="31">
        <v>46236.625</v>
      </c>
      <c r="B66" s="26" t="s">
        <v>894</v>
      </c>
      <c r="C66" s="31">
        <v>46236.62847222222</v>
      </c>
      <c r="D66" s="26" t="s">
        <v>896</v>
      </c>
      <c r="E66" s="26" t="s">
        <v>962</v>
      </c>
      <c r="F66" s="26" t="s">
        <v>898</v>
      </c>
      <c r="G66" s="26">
        <v>-0.02</v>
      </c>
      <c r="H66" s="26">
        <v>2943.7345</v>
      </c>
      <c r="I66" s="26">
        <v>1.014</v>
      </c>
      <c r="J66" s="26">
        <v>2984.9264</v>
      </c>
      <c r="K66" s="26">
        <v>-41.192</v>
      </c>
      <c r="L66" s="26">
        <v>0.0</v>
      </c>
    </row>
    <row r="67" ht="14.25" customHeight="1">
      <c r="A67" s="31">
        <v>46236.625</v>
      </c>
      <c r="B67" s="26" t="s">
        <v>894</v>
      </c>
      <c r="C67" s="31">
        <v>46236.62847222222</v>
      </c>
      <c r="D67" s="26" t="s">
        <v>896</v>
      </c>
      <c r="E67" s="26" t="s">
        <v>963</v>
      </c>
      <c r="F67" s="26" t="s">
        <v>898</v>
      </c>
      <c r="G67" s="26">
        <v>0.0</v>
      </c>
      <c r="H67" s="26">
        <v>2975.9717</v>
      </c>
      <c r="I67" s="26">
        <v>1.003</v>
      </c>
      <c r="J67" s="26">
        <v>2984.9264</v>
      </c>
      <c r="K67" s="26">
        <v>-8.9548</v>
      </c>
      <c r="L67" s="26">
        <v>0.0</v>
      </c>
    </row>
    <row r="68" ht="14.25" customHeight="1">
      <c r="A68" s="31">
        <v>46236.625</v>
      </c>
      <c r="B68" s="26" t="s">
        <v>894</v>
      </c>
      <c r="C68" s="31">
        <v>46236.62847222222</v>
      </c>
      <c r="D68" s="26" t="s">
        <v>896</v>
      </c>
      <c r="E68" s="26" t="s">
        <v>964</v>
      </c>
      <c r="F68" s="26" t="s">
        <v>898</v>
      </c>
      <c r="G68" s="26">
        <v>0.0</v>
      </c>
      <c r="H68" s="26">
        <v>2975.9717</v>
      </c>
      <c r="I68" s="26">
        <v>1.003</v>
      </c>
      <c r="J68" s="26">
        <v>2984.9264</v>
      </c>
      <c r="K68" s="26">
        <v>-8.9548</v>
      </c>
      <c r="L68" s="26">
        <v>0.0</v>
      </c>
    </row>
    <row r="69" ht="14.25" customHeight="1">
      <c r="A69" s="31">
        <v>46236.625</v>
      </c>
      <c r="B69" s="26" t="s">
        <v>894</v>
      </c>
      <c r="C69" s="31">
        <v>46236.62847222222</v>
      </c>
      <c r="D69" s="26" t="s">
        <v>896</v>
      </c>
      <c r="E69" s="26" t="s">
        <v>965</v>
      </c>
      <c r="F69" s="26" t="s">
        <v>898</v>
      </c>
      <c r="G69" s="26">
        <v>-15.32</v>
      </c>
      <c r="H69" s="26">
        <v>2975.9717</v>
      </c>
      <c r="I69" s="26">
        <v>1.003</v>
      </c>
      <c r="J69" s="26">
        <v>2984.9264</v>
      </c>
      <c r="K69" s="26">
        <v>-8.9548</v>
      </c>
      <c r="L69" s="26">
        <v>0.0</v>
      </c>
    </row>
    <row r="70" ht="14.25" customHeight="1">
      <c r="A70" s="31">
        <v>46236.625</v>
      </c>
      <c r="B70" s="26" t="s">
        <v>894</v>
      </c>
      <c r="C70" s="31">
        <v>46236.62847222222</v>
      </c>
      <c r="D70" s="26" t="s">
        <v>896</v>
      </c>
      <c r="E70" s="26" t="s">
        <v>966</v>
      </c>
      <c r="F70" s="26" t="s">
        <v>898</v>
      </c>
      <c r="G70" s="26">
        <v>-27.33</v>
      </c>
      <c r="H70" s="26">
        <v>2916.5716</v>
      </c>
      <c r="I70" s="26">
        <v>1.0234</v>
      </c>
      <c r="J70" s="26">
        <v>2984.9264</v>
      </c>
      <c r="K70" s="26">
        <v>-68.3548</v>
      </c>
      <c r="L70" s="26">
        <v>0.0</v>
      </c>
    </row>
    <row r="71" ht="14.25" customHeight="1">
      <c r="A71" s="31">
        <v>46236.625</v>
      </c>
      <c r="B71" s="26" t="s">
        <v>894</v>
      </c>
      <c r="C71" s="31">
        <v>46236.62847222222</v>
      </c>
      <c r="D71" s="26" t="s">
        <v>896</v>
      </c>
      <c r="E71" s="26" t="s">
        <v>967</v>
      </c>
      <c r="F71" s="26" t="s">
        <v>898</v>
      </c>
      <c r="G71" s="26">
        <v>-2.52</v>
      </c>
      <c r="H71" s="26">
        <v>2978.6581</v>
      </c>
      <c r="I71" s="26">
        <v>1.0021</v>
      </c>
      <c r="J71" s="26">
        <v>2984.9264</v>
      </c>
      <c r="K71" s="26">
        <v>-6.2683</v>
      </c>
      <c r="L71" s="26">
        <v>0.0</v>
      </c>
    </row>
    <row r="72" ht="14.25" customHeight="1">
      <c r="A72" s="31">
        <v>46236.625</v>
      </c>
      <c r="B72" s="26" t="s">
        <v>894</v>
      </c>
      <c r="C72" s="31">
        <v>46236.62847222222</v>
      </c>
      <c r="D72" s="26" t="s">
        <v>896</v>
      </c>
      <c r="E72" s="26" t="s">
        <v>968</v>
      </c>
      <c r="F72" s="26" t="s">
        <v>898</v>
      </c>
      <c r="G72" s="26">
        <v>-18.05</v>
      </c>
      <c r="H72" s="26">
        <v>2978.3596</v>
      </c>
      <c r="I72" s="26">
        <v>1.0022</v>
      </c>
      <c r="J72" s="26">
        <v>2984.9264</v>
      </c>
      <c r="K72" s="26">
        <v>-6.5668</v>
      </c>
      <c r="L72" s="26">
        <v>0.0</v>
      </c>
    </row>
    <row r="73" ht="14.25" customHeight="1">
      <c r="A73" s="31">
        <v>46236.625</v>
      </c>
      <c r="B73" s="26" t="s">
        <v>894</v>
      </c>
      <c r="C73" s="31">
        <v>46236.62847222222</v>
      </c>
      <c r="D73" s="26" t="s">
        <v>896</v>
      </c>
      <c r="E73" s="26" t="s">
        <v>969</v>
      </c>
      <c r="F73" s="26" t="s">
        <v>898</v>
      </c>
      <c r="G73" s="26">
        <v>0.0</v>
      </c>
      <c r="H73" s="26">
        <v>2975.9717</v>
      </c>
      <c r="I73" s="26">
        <v>1.003</v>
      </c>
      <c r="J73" s="26">
        <v>2984.9264</v>
      </c>
      <c r="K73" s="26">
        <v>-8.9548</v>
      </c>
      <c r="L73" s="26">
        <v>0.0</v>
      </c>
    </row>
    <row r="74" ht="14.25" customHeight="1">
      <c r="A74" s="31">
        <v>46236.625</v>
      </c>
      <c r="B74" s="26" t="s">
        <v>894</v>
      </c>
      <c r="C74" s="31">
        <v>46236.62847222222</v>
      </c>
      <c r="D74" s="26" t="s">
        <v>896</v>
      </c>
      <c r="E74" s="26" t="s">
        <v>970</v>
      </c>
      <c r="F74" s="26" t="s">
        <v>898</v>
      </c>
      <c r="G74" s="26">
        <v>-38.51</v>
      </c>
      <c r="H74" s="26">
        <v>2980.449</v>
      </c>
      <c r="I74" s="26">
        <v>1.0015</v>
      </c>
      <c r="J74" s="26">
        <v>2984.9264</v>
      </c>
      <c r="K74" s="26">
        <v>-4.4774</v>
      </c>
      <c r="L74" s="26">
        <v>0.0</v>
      </c>
    </row>
    <row r="75" ht="14.25" customHeight="1">
      <c r="A75" s="31">
        <v>46236.625</v>
      </c>
      <c r="B75" s="26" t="s">
        <v>894</v>
      </c>
      <c r="C75" s="31">
        <v>46236.62847222222</v>
      </c>
      <c r="D75" s="26" t="s">
        <v>896</v>
      </c>
      <c r="E75" s="26" t="s">
        <v>971</v>
      </c>
      <c r="F75" s="26" t="s">
        <v>898</v>
      </c>
      <c r="G75" s="26">
        <v>-29.37</v>
      </c>
      <c r="H75" s="26">
        <v>2980.449</v>
      </c>
      <c r="I75" s="26">
        <v>1.0015</v>
      </c>
      <c r="J75" s="26">
        <v>2984.9264</v>
      </c>
      <c r="K75" s="26">
        <v>-4.4774</v>
      </c>
      <c r="L75" s="26">
        <v>0.0</v>
      </c>
    </row>
    <row r="76" ht="14.25" customHeight="1">
      <c r="A76" s="31">
        <v>46236.625</v>
      </c>
      <c r="B76" s="26" t="s">
        <v>894</v>
      </c>
      <c r="C76" s="31">
        <v>46236.62847222222</v>
      </c>
      <c r="D76" s="26" t="s">
        <v>896</v>
      </c>
      <c r="E76" s="26" t="s">
        <v>972</v>
      </c>
      <c r="F76" s="26" t="s">
        <v>898</v>
      </c>
      <c r="G76" s="26">
        <v>-0.19</v>
      </c>
      <c r="H76" s="26">
        <v>2980.449</v>
      </c>
      <c r="I76" s="26">
        <v>1.0015</v>
      </c>
      <c r="J76" s="26">
        <v>2984.9264</v>
      </c>
      <c r="K76" s="26">
        <v>-4.4774</v>
      </c>
      <c r="L76" s="26">
        <v>0.0</v>
      </c>
    </row>
    <row r="77" ht="14.25" customHeight="1">
      <c r="A77" s="31">
        <v>46236.625</v>
      </c>
      <c r="B77" s="26" t="s">
        <v>894</v>
      </c>
      <c r="C77" s="31">
        <v>46236.62847222222</v>
      </c>
      <c r="D77" s="26" t="s">
        <v>896</v>
      </c>
      <c r="E77" s="26" t="s">
        <v>973</v>
      </c>
      <c r="F77" s="26" t="s">
        <v>898</v>
      </c>
      <c r="G77" s="26">
        <v>0.0</v>
      </c>
      <c r="H77" s="26">
        <v>2980.449</v>
      </c>
      <c r="I77" s="26">
        <v>1.0015</v>
      </c>
      <c r="J77" s="26">
        <v>2984.9264</v>
      </c>
      <c r="K77" s="26">
        <v>-4.4774</v>
      </c>
      <c r="L77" s="26">
        <v>0.0</v>
      </c>
    </row>
    <row r="78" ht="14.25" customHeight="1">
      <c r="A78" s="31">
        <v>46236.625</v>
      </c>
      <c r="B78" s="26" t="s">
        <v>894</v>
      </c>
      <c r="C78" s="31">
        <v>46236.62847222222</v>
      </c>
      <c r="D78" s="26" t="s">
        <v>896</v>
      </c>
      <c r="E78" s="26" t="s">
        <v>974</v>
      </c>
      <c r="F78" s="26" t="s">
        <v>898</v>
      </c>
      <c r="G78" s="26">
        <v>0.0</v>
      </c>
      <c r="H78" s="26">
        <v>2973.8822</v>
      </c>
      <c r="I78" s="26">
        <v>1.0037</v>
      </c>
      <c r="J78" s="26">
        <v>2984.9264</v>
      </c>
      <c r="K78" s="26">
        <v>-11.0442</v>
      </c>
      <c r="L78" s="26">
        <v>0.0</v>
      </c>
    </row>
    <row r="79" ht="14.25" customHeight="1">
      <c r="A79" s="31">
        <v>46236.625</v>
      </c>
      <c r="B79" s="26" t="s">
        <v>894</v>
      </c>
      <c r="C79" s="31">
        <v>46236.62847222222</v>
      </c>
      <c r="D79" s="26" t="s">
        <v>896</v>
      </c>
      <c r="E79" s="26" t="s">
        <v>975</v>
      </c>
      <c r="F79" s="26" t="s">
        <v>898</v>
      </c>
      <c r="G79" s="26">
        <v>0.0</v>
      </c>
      <c r="H79" s="26">
        <v>2927.0189</v>
      </c>
      <c r="I79" s="26">
        <v>1.0198</v>
      </c>
      <c r="J79" s="26">
        <v>2984.9264</v>
      </c>
      <c r="K79" s="26">
        <v>-57.9076</v>
      </c>
      <c r="L79" s="26">
        <v>0.0</v>
      </c>
    </row>
    <row r="80" ht="14.25" customHeight="1">
      <c r="A80" s="31">
        <v>46236.625</v>
      </c>
      <c r="B80" s="26" t="s">
        <v>894</v>
      </c>
      <c r="C80" s="31">
        <v>46236.62847222222</v>
      </c>
      <c r="D80" s="26" t="s">
        <v>896</v>
      </c>
      <c r="E80" s="26" t="s">
        <v>976</v>
      </c>
      <c r="F80" s="26" t="s">
        <v>898</v>
      </c>
      <c r="G80" s="26">
        <v>-21.9</v>
      </c>
      <c r="H80" s="26">
        <v>2927.3174</v>
      </c>
      <c r="I80" s="26">
        <v>1.0196</v>
      </c>
      <c r="J80" s="26">
        <v>2984.9264</v>
      </c>
      <c r="K80" s="26">
        <v>-57.6091</v>
      </c>
      <c r="L80" s="26">
        <v>0.0</v>
      </c>
    </row>
    <row r="81" ht="14.25" customHeight="1">
      <c r="A81" s="31">
        <v>46236.625</v>
      </c>
      <c r="B81" s="26" t="s">
        <v>894</v>
      </c>
      <c r="C81" s="31">
        <v>46236.62847222222</v>
      </c>
      <c r="D81" s="26" t="s">
        <v>896</v>
      </c>
      <c r="E81" s="26" t="s">
        <v>977</v>
      </c>
      <c r="F81" s="26" t="s">
        <v>898</v>
      </c>
      <c r="G81" s="26">
        <v>-54.08</v>
      </c>
      <c r="H81" s="26">
        <v>2927.3174</v>
      </c>
      <c r="I81" s="26">
        <v>1.0196</v>
      </c>
      <c r="J81" s="26">
        <v>2984.9264</v>
      </c>
      <c r="K81" s="26">
        <v>-57.6091</v>
      </c>
      <c r="L81" s="26">
        <v>0.0</v>
      </c>
    </row>
    <row r="82" ht="14.25" customHeight="1">
      <c r="A82" s="31">
        <v>46236.625</v>
      </c>
      <c r="B82" s="26" t="s">
        <v>894</v>
      </c>
      <c r="C82" s="31">
        <v>46236.62847222222</v>
      </c>
      <c r="D82" s="26" t="s">
        <v>896</v>
      </c>
      <c r="E82" s="26" t="s">
        <v>978</v>
      </c>
      <c r="F82" s="26" t="s">
        <v>898</v>
      </c>
      <c r="G82" s="26">
        <v>0.0</v>
      </c>
      <c r="H82" s="26">
        <v>3012.9847</v>
      </c>
      <c r="I82" s="26">
        <v>0.9907</v>
      </c>
      <c r="J82" s="26">
        <v>2984.9264</v>
      </c>
      <c r="K82" s="26">
        <v>28.0583</v>
      </c>
      <c r="L82" s="26">
        <v>0.0</v>
      </c>
    </row>
    <row r="83" ht="14.25" customHeight="1">
      <c r="A83" s="31">
        <v>46236.625</v>
      </c>
      <c r="B83" s="26" t="s">
        <v>894</v>
      </c>
      <c r="C83" s="31">
        <v>46236.62847222222</v>
      </c>
      <c r="D83" s="26" t="s">
        <v>896</v>
      </c>
      <c r="E83" s="26" t="s">
        <v>979</v>
      </c>
      <c r="F83" s="26" t="s">
        <v>898</v>
      </c>
      <c r="G83" s="26">
        <v>-39.95</v>
      </c>
      <c r="H83" s="26">
        <v>3012.9847</v>
      </c>
      <c r="I83" s="26">
        <v>0.9907</v>
      </c>
      <c r="J83" s="26">
        <v>2984.9264</v>
      </c>
      <c r="K83" s="26">
        <v>28.0583</v>
      </c>
      <c r="L83" s="26">
        <v>0.0</v>
      </c>
    </row>
    <row r="84" ht="14.25" customHeight="1">
      <c r="A84" s="31">
        <v>46236.625</v>
      </c>
      <c r="B84" s="26" t="s">
        <v>894</v>
      </c>
      <c r="C84" s="31">
        <v>46236.62847222222</v>
      </c>
      <c r="D84" s="26" t="s">
        <v>896</v>
      </c>
      <c r="E84" s="26" t="s">
        <v>980</v>
      </c>
      <c r="F84" s="26" t="s">
        <v>898</v>
      </c>
      <c r="G84" s="26">
        <v>-26.36</v>
      </c>
      <c r="H84" s="26">
        <v>3012.9847</v>
      </c>
      <c r="I84" s="26">
        <v>0.9907</v>
      </c>
      <c r="J84" s="26">
        <v>2984.9264</v>
      </c>
      <c r="K84" s="26">
        <v>28.0583</v>
      </c>
      <c r="L84" s="26">
        <v>0.0</v>
      </c>
    </row>
    <row r="85" ht="14.25" customHeight="1">
      <c r="A85" s="31">
        <v>46236.625</v>
      </c>
      <c r="B85" s="26" t="s">
        <v>894</v>
      </c>
      <c r="C85" s="31">
        <v>46236.62847222222</v>
      </c>
      <c r="D85" s="26" t="s">
        <v>896</v>
      </c>
      <c r="E85" s="26" t="s">
        <v>981</v>
      </c>
      <c r="F85" s="26" t="s">
        <v>898</v>
      </c>
      <c r="G85" s="26">
        <v>-31.13</v>
      </c>
      <c r="H85" s="26">
        <v>3012.9847</v>
      </c>
      <c r="I85" s="26">
        <v>0.9907</v>
      </c>
      <c r="J85" s="26">
        <v>2984.9264</v>
      </c>
      <c r="K85" s="26">
        <v>28.0583</v>
      </c>
      <c r="L85" s="26">
        <v>0.0</v>
      </c>
    </row>
    <row r="86" ht="14.25" customHeight="1">
      <c r="A86" s="31">
        <v>46236.625</v>
      </c>
      <c r="B86" s="26" t="s">
        <v>894</v>
      </c>
      <c r="C86" s="31">
        <v>46236.62847222222</v>
      </c>
      <c r="D86" s="26" t="s">
        <v>896</v>
      </c>
      <c r="E86" s="26" t="s">
        <v>982</v>
      </c>
      <c r="F86" s="26" t="s">
        <v>898</v>
      </c>
      <c r="G86" s="26">
        <v>-27.69</v>
      </c>
      <c r="H86" s="26">
        <v>3012.9847</v>
      </c>
      <c r="I86" s="26">
        <v>0.9907</v>
      </c>
      <c r="J86" s="26">
        <v>2984.9264</v>
      </c>
      <c r="K86" s="26">
        <v>28.0583</v>
      </c>
      <c r="L86" s="26">
        <v>0.0</v>
      </c>
    </row>
    <row r="87" ht="14.25" customHeight="1">
      <c r="A87" s="31">
        <v>46236.625</v>
      </c>
      <c r="B87" s="26" t="s">
        <v>894</v>
      </c>
      <c r="C87" s="31">
        <v>46236.62847222222</v>
      </c>
      <c r="D87" s="26" t="s">
        <v>896</v>
      </c>
      <c r="E87" s="26" t="s">
        <v>983</v>
      </c>
      <c r="F87" s="26" t="s">
        <v>898</v>
      </c>
      <c r="G87" s="26">
        <v>0.0</v>
      </c>
      <c r="H87" s="26">
        <v>3012.9847</v>
      </c>
      <c r="I87" s="26">
        <v>0.9907</v>
      </c>
      <c r="J87" s="26">
        <v>2984.9264</v>
      </c>
      <c r="K87" s="26">
        <v>28.0583</v>
      </c>
      <c r="L87" s="26">
        <v>0.0</v>
      </c>
    </row>
    <row r="88" ht="14.25" customHeight="1">
      <c r="A88" s="31">
        <v>46236.625</v>
      </c>
      <c r="B88" s="26" t="s">
        <v>894</v>
      </c>
      <c r="C88" s="31">
        <v>46236.62847222222</v>
      </c>
      <c r="D88" s="26" t="s">
        <v>896</v>
      </c>
      <c r="E88" s="26" t="s">
        <v>984</v>
      </c>
      <c r="F88" s="26" t="s">
        <v>898</v>
      </c>
      <c r="G88" s="26">
        <v>-41.69</v>
      </c>
      <c r="H88" s="26">
        <v>3012.9847</v>
      </c>
      <c r="I88" s="26">
        <v>0.9907</v>
      </c>
      <c r="J88" s="26">
        <v>2984.9264</v>
      </c>
      <c r="K88" s="26">
        <v>28.0583</v>
      </c>
      <c r="L88" s="26">
        <v>0.0</v>
      </c>
    </row>
    <row r="89" ht="14.25" customHeight="1">
      <c r="A89" s="31">
        <v>46236.625</v>
      </c>
      <c r="B89" s="26" t="s">
        <v>894</v>
      </c>
      <c r="C89" s="31">
        <v>46236.62847222222</v>
      </c>
      <c r="D89" s="26" t="s">
        <v>896</v>
      </c>
      <c r="E89" s="26" t="s">
        <v>985</v>
      </c>
      <c r="F89" s="26" t="s">
        <v>898</v>
      </c>
      <c r="G89" s="26">
        <v>0.0</v>
      </c>
      <c r="H89" s="26">
        <v>3011.4923</v>
      </c>
      <c r="I89" s="26">
        <v>0.9912</v>
      </c>
      <c r="J89" s="26">
        <v>2984.9264</v>
      </c>
      <c r="K89" s="26">
        <v>26.5658</v>
      </c>
      <c r="L89" s="26">
        <v>0.0</v>
      </c>
    </row>
    <row r="90" ht="14.25" customHeight="1">
      <c r="A90" s="31">
        <v>46236.625</v>
      </c>
      <c r="B90" s="26" t="s">
        <v>894</v>
      </c>
      <c r="C90" s="31">
        <v>46236.62847222222</v>
      </c>
      <c r="D90" s="26" t="s">
        <v>896</v>
      </c>
      <c r="E90" s="26" t="s">
        <v>986</v>
      </c>
      <c r="F90" s="26" t="s">
        <v>898</v>
      </c>
      <c r="G90" s="26">
        <v>0.0</v>
      </c>
      <c r="H90" s="26">
        <v>2998.3586</v>
      </c>
      <c r="I90" s="26">
        <v>0.9956</v>
      </c>
      <c r="J90" s="26">
        <v>2984.9264</v>
      </c>
      <c r="K90" s="26">
        <v>13.4322</v>
      </c>
      <c r="L90" s="26">
        <v>0.0</v>
      </c>
    </row>
    <row r="91" ht="14.25" customHeight="1">
      <c r="A91" s="31">
        <v>46236.625</v>
      </c>
      <c r="B91" s="26" t="s">
        <v>894</v>
      </c>
      <c r="C91" s="31">
        <v>46236.62847222222</v>
      </c>
      <c r="D91" s="26" t="s">
        <v>896</v>
      </c>
      <c r="E91" s="26" t="s">
        <v>987</v>
      </c>
      <c r="F91" s="26" t="s">
        <v>898</v>
      </c>
      <c r="G91" s="26">
        <v>-34.65</v>
      </c>
      <c r="H91" s="26">
        <v>2998.3586</v>
      </c>
      <c r="I91" s="26">
        <v>0.9956</v>
      </c>
      <c r="J91" s="26">
        <v>2984.9264</v>
      </c>
      <c r="K91" s="26">
        <v>13.4322</v>
      </c>
      <c r="L91" s="26">
        <v>0.0</v>
      </c>
    </row>
    <row r="92" ht="14.25" customHeight="1">
      <c r="A92" s="31">
        <v>46236.625</v>
      </c>
      <c r="B92" s="26" t="s">
        <v>894</v>
      </c>
      <c r="C92" s="31">
        <v>46236.62847222222</v>
      </c>
      <c r="D92" s="26" t="s">
        <v>896</v>
      </c>
      <c r="E92" s="26" t="s">
        <v>988</v>
      </c>
      <c r="F92" s="26" t="s">
        <v>898</v>
      </c>
      <c r="G92" s="26">
        <v>-4.53</v>
      </c>
      <c r="H92" s="26">
        <v>2998.3586</v>
      </c>
      <c r="I92" s="26">
        <v>0.9956</v>
      </c>
      <c r="J92" s="26">
        <v>2984.9264</v>
      </c>
      <c r="K92" s="26">
        <v>13.4322</v>
      </c>
      <c r="L92" s="26">
        <v>0.0</v>
      </c>
    </row>
    <row r="93" ht="14.25" customHeight="1">
      <c r="A93" s="31">
        <v>46236.625</v>
      </c>
      <c r="B93" s="26" t="s">
        <v>894</v>
      </c>
      <c r="C93" s="31">
        <v>46236.62847222222</v>
      </c>
      <c r="D93" s="26" t="s">
        <v>896</v>
      </c>
      <c r="E93" s="26" t="s">
        <v>989</v>
      </c>
      <c r="F93" s="26" t="s">
        <v>898</v>
      </c>
      <c r="G93" s="26">
        <v>0.0</v>
      </c>
      <c r="H93" s="26">
        <v>2998.3586</v>
      </c>
      <c r="I93" s="26">
        <v>0.9956</v>
      </c>
      <c r="J93" s="26">
        <v>2984.9264</v>
      </c>
      <c r="K93" s="26">
        <v>13.4322</v>
      </c>
      <c r="L93" s="26">
        <v>0.0</v>
      </c>
    </row>
    <row r="94" ht="14.25" customHeight="1">
      <c r="A94" s="31">
        <v>46236.625</v>
      </c>
      <c r="B94" s="26" t="s">
        <v>894</v>
      </c>
      <c r="C94" s="31">
        <v>46236.62847222222</v>
      </c>
      <c r="D94" s="26" t="s">
        <v>896</v>
      </c>
      <c r="E94" s="26" t="s">
        <v>990</v>
      </c>
      <c r="F94" s="26" t="s">
        <v>898</v>
      </c>
      <c r="G94" s="26">
        <v>0.0</v>
      </c>
      <c r="H94" s="26">
        <v>2998.3586</v>
      </c>
      <c r="I94" s="26">
        <v>0.9956</v>
      </c>
      <c r="J94" s="26">
        <v>2984.9264</v>
      </c>
      <c r="K94" s="26">
        <v>13.4322</v>
      </c>
      <c r="L94" s="26">
        <v>0.0</v>
      </c>
    </row>
    <row r="95" ht="14.25" customHeight="1">
      <c r="A95" s="31">
        <v>46236.625</v>
      </c>
      <c r="B95" s="26" t="s">
        <v>894</v>
      </c>
      <c r="C95" s="31">
        <v>46236.62847222222</v>
      </c>
      <c r="D95" s="26" t="s">
        <v>896</v>
      </c>
      <c r="E95" s="26" t="s">
        <v>991</v>
      </c>
      <c r="F95" s="26" t="s">
        <v>898</v>
      </c>
      <c r="G95" s="26">
        <v>0.0</v>
      </c>
      <c r="H95" s="26">
        <v>2985.8219</v>
      </c>
      <c r="I95" s="26">
        <v>0.9997</v>
      </c>
      <c r="J95" s="26">
        <v>2984.9264</v>
      </c>
      <c r="K95" s="26">
        <v>0.8955</v>
      </c>
      <c r="L95" s="26">
        <v>0.0</v>
      </c>
    </row>
    <row r="96" ht="14.25" customHeight="1">
      <c r="A96" s="31">
        <v>46236.625</v>
      </c>
      <c r="B96" s="26" t="s">
        <v>894</v>
      </c>
      <c r="C96" s="31">
        <v>46236.62847222222</v>
      </c>
      <c r="D96" s="26" t="s">
        <v>896</v>
      </c>
      <c r="E96" s="26" t="s">
        <v>992</v>
      </c>
      <c r="F96" s="26" t="s">
        <v>898</v>
      </c>
      <c r="G96" s="26">
        <v>-0.06</v>
      </c>
      <c r="H96" s="26">
        <v>2985.8219</v>
      </c>
      <c r="I96" s="26">
        <v>0.9997</v>
      </c>
      <c r="J96" s="26">
        <v>2984.9264</v>
      </c>
      <c r="K96" s="26">
        <v>0.8955</v>
      </c>
      <c r="L96" s="26">
        <v>0.0</v>
      </c>
    </row>
    <row r="97" ht="14.25" customHeight="1">
      <c r="A97" s="31">
        <v>46236.625</v>
      </c>
      <c r="B97" s="26" t="s">
        <v>894</v>
      </c>
      <c r="C97" s="31">
        <v>46236.62847222222</v>
      </c>
      <c r="D97" s="26" t="s">
        <v>896</v>
      </c>
      <c r="E97" s="26" t="s">
        <v>993</v>
      </c>
      <c r="F97" s="26" t="s">
        <v>898</v>
      </c>
      <c r="G97" s="26">
        <v>-0.03</v>
      </c>
      <c r="H97" s="26">
        <v>3007.0149</v>
      </c>
      <c r="I97" s="26">
        <v>0.9927</v>
      </c>
      <c r="J97" s="26">
        <v>2984.9264</v>
      </c>
      <c r="K97" s="26">
        <v>22.0885</v>
      </c>
      <c r="L97" s="26">
        <v>0.0</v>
      </c>
    </row>
    <row r="98" ht="14.25" customHeight="1">
      <c r="A98" s="31">
        <v>46236.625</v>
      </c>
      <c r="B98" s="26" t="s">
        <v>894</v>
      </c>
      <c r="C98" s="31">
        <v>46236.62847222222</v>
      </c>
      <c r="D98" s="26" t="s">
        <v>896</v>
      </c>
      <c r="E98" s="26" t="s">
        <v>994</v>
      </c>
      <c r="F98" s="26" t="s">
        <v>898</v>
      </c>
      <c r="G98" s="26">
        <v>0.0</v>
      </c>
      <c r="H98" s="26">
        <v>2998.0601</v>
      </c>
      <c r="I98" s="26">
        <v>0.9957</v>
      </c>
      <c r="J98" s="26">
        <v>2984.9264</v>
      </c>
      <c r="K98" s="26">
        <v>13.1337</v>
      </c>
      <c r="L98" s="26">
        <v>0.0</v>
      </c>
    </row>
    <row r="99" ht="14.25" customHeight="1">
      <c r="A99" s="31">
        <v>46236.625</v>
      </c>
      <c r="B99" s="26" t="s">
        <v>894</v>
      </c>
      <c r="C99" s="31">
        <v>46236.62847222222</v>
      </c>
      <c r="D99" s="26" t="s">
        <v>896</v>
      </c>
      <c r="E99" s="26" t="s">
        <v>995</v>
      </c>
      <c r="F99" s="26" t="s">
        <v>898</v>
      </c>
      <c r="G99" s="26">
        <v>0.0</v>
      </c>
      <c r="H99" s="26">
        <v>2977.1656</v>
      </c>
      <c r="I99" s="26">
        <v>1.0026</v>
      </c>
      <c r="J99" s="26">
        <v>2984.9264</v>
      </c>
      <c r="K99" s="26">
        <v>-7.7608</v>
      </c>
      <c r="L99" s="26">
        <v>0.0</v>
      </c>
    </row>
    <row r="100" ht="14.25" customHeight="1">
      <c r="A100" s="31">
        <v>46236.625</v>
      </c>
      <c r="B100" s="26" t="s">
        <v>894</v>
      </c>
      <c r="C100" s="31">
        <v>46236.62847222222</v>
      </c>
      <c r="D100" s="26" t="s">
        <v>896</v>
      </c>
      <c r="E100" s="26" t="s">
        <v>996</v>
      </c>
      <c r="F100" s="26" t="s">
        <v>898</v>
      </c>
      <c r="G100" s="26">
        <v>0.0</v>
      </c>
      <c r="H100" s="26">
        <v>2977.1656</v>
      </c>
      <c r="I100" s="26">
        <v>1.0026</v>
      </c>
      <c r="J100" s="26">
        <v>2984.9264</v>
      </c>
      <c r="K100" s="26">
        <v>-7.7608</v>
      </c>
      <c r="L100" s="26">
        <v>0.0</v>
      </c>
    </row>
    <row r="101" ht="14.25" customHeight="1">
      <c r="A101" s="31">
        <v>46236.625</v>
      </c>
      <c r="B101" s="26" t="s">
        <v>894</v>
      </c>
      <c r="C101" s="31">
        <v>46236.62847222222</v>
      </c>
      <c r="D101" s="26" t="s">
        <v>896</v>
      </c>
      <c r="E101" s="26" t="s">
        <v>997</v>
      </c>
      <c r="F101" s="26" t="s">
        <v>898</v>
      </c>
      <c r="G101" s="26">
        <v>0.0</v>
      </c>
      <c r="H101" s="26">
        <v>2977.1656</v>
      </c>
      <c r="I101" s="26">
        <v>1.0026</v>
      </c>
      <c r="J101" s="26">
        <v>2984.9264</v>
      </c>
      <c r="K101" s="26">
        <v>-7.7608</v>
      </c>
      <c r="L101" s="26">
        <v>0.0</v>
      </c>
    </row>
    <row r="102" ht="14.25" customHeight="1">
      <c r="A102" s="31">
        <v>46236.625</v>
      </c>
      <c r="B102" s="26" t="s">
        <v>894</v>
      </c>
      <c r="C102" s="31">
        <v>46236.62847222222</v>
      </c>
      <c r="D102" s="26" t="s">
        <v>896</v>
      </c>
      <c r="E102" s="26" t="s">
        <v>998</v>
      </c>
      <c r="F102" s="26" t="s">
        <v>898</v>
      </c>
      <c r="G102" s="26">
        <v>-15.11</v>
      </c>
      <c r="H102" s="26">
        <v>2976.2702</v>
      </c>
      <c r="I102" s="26">
        <v>1.0029</v>
      </c>
      <c r="J102" s="26">
        <v>2984.9264</v>
      </c>
      <c r="K102" s="26">
        <v>-8.6563</v>
      </c>
      <c r="L102" s="26">
        <v>0.0</v>
      </c>
    </row>
    <row r="103" ht="14.25" customHeight="1">
      <c r="A103" s="31">
        <v>46236.625</v>
      </c>
      <c r="B103" s="26" t="s">
        <v>894</v>
      </c>
      <c r="C103" s="31">
        <v>46236.62847222222</v>
      </c>
      <c r="D103" s="26" t="s">
        <v>896</v>
      </c>
      <c r="E103" s="26" t="s">
        <v>999</v>
      </c>
      <c r="F103" s="26" t="s">
        <v>898</v>
      </c>
      <c r="G103" s="26">
        <v>-24.44</v>
      </c>
      <c r="H103" s="26">
        <v>2975.0762</v>
      </c>
      <c r="I103" s="26">
        <v>1.0033</v>
      </c>
      <c r="J103" s="26">
        <v>2984.9264</v>
      </c>
      <c r="K103" s="26">
        <v>-9.8503</v>
      </c>
      <c r="L103" s="26">
        <v>0.0</v>
      </c>
    </row>
    <row r="104" ht="14.25" customHeight="1">
      <c r="A104" s="31">
        <v>46236.625</v>
      </c>
      <c r="B104" s="26" t="s">
        <v>894</v>
      </c>
      <c r="C104" s="31">
        <v>46236.62847222222</v>
      </c>
      <c r="D104" s="26" t="s">
        <v>896</v>
      </c>
      <c r="E104" s="26" t="s">
        <v>1000</v>
      </c>
      <c r="F104" s="26" t="s">
        <v>898</v>
      </c>
      <c r="G104" s="26">
        <v>0.0</v>
      </c>
      <c r="H104" s="26">
        <v>2955.9727</v>
      </c>
      <c r="I104" s="26">
        <v>1.0098</v>
      </c>
      <c r="J104" s="26">
        <v>2984.9264</v>
      </c>
      <c r="K104" s="26">
        <v>-28.9538</v>
      </c>
      <c r="L104" s="26">
        <v>0.0</v>
      </c>
    </row>
    <row r="105" ht="14.25" customHeight="1">
      <c r="A105" s="31">
        <v>46236.625</v>
      </c>
      <c r="B105" s="26" t="s">
        <v>894</v>
      </c>
      <c r="C105" s="31">
        <v>46236.62847222222</v>
      </c>
      <c r="D105" s="26" t="s">
        <v>896</v>
      </c>
      <c r="E105" s="26" t="s">
        <v>1001</v>
      </c>
      <c r="F105" s="26" t="s">
        <v>898</v>
      </c>
      <c r="G105" s="26">
        <v>-11.58</v>
      </c>
      <c r="H105" s="26">
        <v>2956.2711</v>
      </c>
      <c r="I105" s="26">
        <v>1.0097</v>
      </c>
      <c r="J105" s="26">
        <v>2984.9264</v>
      </c>
      <c r="K105" s="26">
        <v>-28.6553</v>
      </c>
      <c r="L105" s="26">
        <v>0.0</v>
      </c>
    </row>
    <row r="106" ht="14.25" customHeight="1">
      <c r="A106" s="31">
        <v>46236.625</v>
      </c>
      <c r="B106" s="26" t="s">
        <v>894</v>
      </c>
      <c r="C106" s="31">
        <v>46236.62847222222</v>
      </c>
      <c r="D106" s="26" t="s">
        <v>896</v>
      </c>
      <c r="E106" s="26" t="s">
        <v>1002</v>
      </c>
      <c r="F106" s="26" t="s">
        <v>898</v>
      </c>
      <c r="G106" s="26">
        <v>0.0</v>
      </c>
      <c r="H106" s="26">
        <v>2956.2711</v>
      </c>
      <c r="I106" s="26">
        <v>1.0097</v>
      </c>
      <c r="J106" s="26">
        <v>2984.9264</v>
      </c>
      <c r="K106" s="26">
        <v>-28.6553</v>
      </c>
      <c r="L106" s="26">
        <v>0.0</v>
      </c>
    </row>
    <row r="107" ht="14.25" customHeight="1">
      <c r="A107" s="31">
        <v>46236.625</v>
      </c>
      <c r="B107" s="26" t="s">
        <v>894</v>
      </c>
      <c r="C107" s="31">
        <v>46236.62847222222</v>
      </c>
      <c r="D107" s="26" t="s">
        <v>896</v>
      </c>
      <c r="E107" s="26" t="s">
        <v>1003</v>
      </c>
      <c r="F107" s="26" t="s">
        <v>898</v>
      </c>
      <c r="G107" s="26">
        <v>-5.59</v>
      </c>
      <c r="H107" s="26">
        <v>2910.9003</v>
      </c>
      <c r="I107" s="26">
        <v>1.0254</v>
      </c>
      <c r="J107" s="26">
        <v>2984.9264</v>
      </c>
      <c r="K107" s="26">
        <v>-74.0262</v>
      </c>
      <c r="L107" s="26">
        <v>0.0</v>
      </c>
    </row>
    <row r="108" ht="14.25" customHeight="1">
      <c r="A108" s="31">
        <v>46236.625</v>
      </c>
      <c r="B108" s="26" t="s">
        <v>894</v>
      </c>
      <c r="C108" s="31">
        <v>46236.62847222222</v>
      </c>
      <c r="D108" s="26" t="s">
        <v>896</v>
      </c>
      <c r="E108" s="26" t="s">
        <v>1004</v>
      </c>
      <c r="F108" s="26" t="s">
        <v>898</v>
      </c>
      <c r="G108" s="26">
        <v>-7.09</v>
      </c>
      <c r="H108" s="26">
        <v>2902.244</v>
      </c>
      <c r="I108" s="26">
        <v>1.0285</v>
      </c>
      <c r="J108" s="26">
        <v>2984.9264</v>
      </c>
      <c r="K108" s="26">
        <v>-82.6825</v>
      </c>
      <c r="L108" s="26">
        <v>0.0</v>
      </c>
    </row>
    <row r="109" ht="14.25" customHeight="1">
      <c r="A109" s="31">
        <v>46236.625</v>
      </c>
      <c r="B109" s="26" t="s">
        <v>894</v>
      </c>
      <c r="C109" s="31">
        <v>46236.62847222222</v>
      </c>
      <c r="D109" s="26" t="s">
        <v>896</v>
      </c>
      <c r="E109" s="26" t="s">
        <v>1005</v>
      </c>
      <c r="F109" s="26" t="s">
        <v>898</v>
      </c>
      <c r="G109" s="26">
        <v>-0.33</v>
      </c>
      <c r="H109" s="26">
        <v>2978.3596</v>
      </c>
      <c r="I109" s="26">
        <v>1.0022</v>
      </c>
      <c r="J109" s="26">
        <v>2984.9264</v>
      </c>
      <c r="K109" s="26">
        <v>-6.5668</v>
      </c>
      <c r="L109" s="26">
        <v>0.0</v>
      </c>
    </row>
    <row r="110" ht="14.25" customHeight="1">
      <c r="A110" s="31">
        <v>46236.625</v>
      </c>
      <c r="B110" s="26" t="s">
        <v>894</v>
      </c>
      <c r="C110" s="31">
        <v>46236.62847222222</v>
      </c>
      <c r="D110" s="26" t="s">
        <v>896</v>
      </c>
      <c r="E110" s="26" t="s">
        <v>1006</v>
      </c>
      <c r="F110" s="26" t="s">
        <v>898</v>
      </c>
      <c r="G110" s="26">
        <v>0.0</v>
      </c>
      <c r="H110" s="26">
        <v>2902.244</v>
      </c>
      <c r="I110" s="26">
        <v>1.0285</v>
      </c>
      <c r="J110" s="26">
        <v>2984.9264</v>
      </c>
      <c r="K110" s="26">
        <v>-82.6825</v>
      </c>
      <c r="L110" s="26">
        <v>0.0</v>
      </c>
    </row>
    <row r="111" ht="14.25" customHeight="1">
      <c r="A111" s="31">
        <v>46236.625</v>
      </c>
      <c r="B111" s="26" t="s">
        <v>894</v>
      </c>
      <c r="C111" s="31">
        <v>46236.62847222222</v>
      </c>
      <c r="D111" s="26" t="s">
        <v>896</v>
      </c>
      <c r="E111" s="26" t="s">
        <v>1007</v>
      </c>
      <c r="F111" s="26" t="s">
        <v>898</v>
      </c>
      <c r="G111" s="26">
        <v>0.0</v>
      </c>
      <c r="H111" s="26">
        <v>3012.9847</v>
      </c>
      <c r="I111" s="26">
        <v>0.9907</v>
      </c>
      <c r="J111" s="26">
        <v>2984.9264</v>
      </c>
      <c r="K111" s="26">
        <v>28.0583</v>
      </c>
      <c r="L111" s="26">
        <v>0.0</v>
      </c>
    </row>
    <row r="112" ht="14.25" customHeight="1">
      <c r="A112" s="31">
        <v>46236.625</v>
      </c>
      <c r="B112" s="26" t="s">
        <v>894</v>
      </c>
      <c r="C112" s="31">
        <v>46236.62847222222</v>
      </c>
      <c r="D112" s="26" t="s">
        <v>896</v>
      </c>
      <c r="E112" s="26" t="s">
        <v>1008</v>
      </c>
      <c r="F112" s="26" t="s">
        <v>898</v>
      </c>
      <c r="G112" s="26">
        <v>0.0</v>
      </c>
      <c r="H112" s="26">
        <v>2961.644</v>
      </c>
      <c r="I112" s="26">
        <v>1.0078</v>
      </c>
      <c r="J112" s="26">
        <v>2984.9264</v>
      </c>
      <c r="K112" s="26">
        <v>-23.2824</v>
      </c>
      <c r="L112" s="26">
        <v>0.0</v>
      </c>
    </row>
    <row r="113" ht="14.25" customHeight="1">
      <c r="A113" s="31">
        <v>46236.625</v>
      </c>
      <c r="B113" s="26" t="s">
        <v>894</v>
      </c>
      <c r="C113" s="31">
        <v>46236.62847222222</v>
      </c>
      <c r="D113" s="26" t="s">
        <v>896</v>
      </c>
      <c r="E113" s="26" t="s">
        <v>1009</v>
      </c>
      <c r="F113" s="26" t="s">
        <v>898</v>
      </c>
      <c r="G113" s="26">
        <v>0.0</v>
      </c>
      <c r="H113" s="26">
        <v>2961.644</v>
      </c>
      <c r="I113" s="26">
        <v>1.0078</v>
      </c>
      <c r="J113" s="26">
        <v>2984.9264</v>
      </c>
      <c r="K113" s="26">
        <v>-23.2824</v>
      </c>
      <c r="L113" s="26">
        <v>0.0</v>
      </c>
    </row>
    <row r="114" ht="14.25" customHeight="1">
      <c r="A114" s="31">
        <v>46236.625</v>
      </c>
      <c r="B114" s="26" t="s">
        <v>894</v>
      </c>
      <c r="C114" s="31">
        <v>46236.62847222222</v>
      </c>
      <c r="D114" s="26" t="s">
        <v>896</v>
      </c>
      <c r="E114" s="26" t="s">
        <v>1010</v>
      </c>
      <c r="F114" s="26" t="s">
        <v>898</v>
      </c>
      <c r="G114" s="26">
        <v>-18.31</v>
      </c>
      <c r="H114" s="26">
        <v>2983.434</v>
      </c>
      <c r="I114" s="26">
        <v>1.0005</v>
      </c>
      <c r="J114" s="26">
        <v>2984.9264</v>
      </c>
      <c r="K114" s="26">
        <v>-1.4925</v>
      </c>
      <c r="L114" s="26">
        <v>0.0</v>
      </c>
    </row>
    <row r="115" ht="14.25" customHeight="1">
      <c r="A115" s="31">
        <v>46236.625</v>
      </c>
      <c r="B115" s="26" t="s">
        <v>894</v>
      </c>
      <c r="C115" s="31">
        <v>46236.62847222222</v>
      </c>
      <c r="D115" s="26" t="s">
        <v>896</v>
      </c>
      <c r="E115" s="26" t="s">
        <v>1011</v>
      </c>
      <c r="F115" s="26" t="s">
        <v>898</v>
      </c>
      <c r="G115" s="26">
        <v>-6.84</v>
      </c>
      <c r="H115" s="26">
        <v>2983.434</v>
      </c>
      <c r="I115" s="26">
        <v>1.0005</v>
      </c>
      <c r="J115" s="26">
        <v>2984.9264</v>
      </c>
      <c r="K115" s="26">
        <v>-1.4925</v>
      </c>
      <c r="L115" s="26">
        <v>0.0</v>
      </c>
    </row>
    <row r="116" ht="14.25" customHeight="1">
      <c r="A116" s="31">
        <v>46236.625</v>
      </c>
      <c r="B116" s="26" t="s">
        <v>894</v>
      </c>
      <c r="C116" s="31">
        <v>46236.62847222222</v>
      </c>
      <c r="D116" s="26" t="s">
        <v>896</v>
      </c>
      <c r="E116" s="26" t="s">
        <v>1012</v>
      </c>
      <c r="F116" s="26" t="s">
        <v>898</v>
      </c>
      <c r="G116" s="26">
        <v>-70.11</v>
      </c>
      <c r="H116" s="26">
        <v>2983.434</v>
      </c>
      <c r="I116" s="26">
        <v>1.0005</v>
      </c>
      <c r="J116" s="26">
        <v>2984.9264</v>
      </c>
      <c r="K116" s="26">
        <v>-1.4925</v>
      </c>
      <c r="L116" s="26">
        <v>0.0</v>
      </c>
    </row>
    <row r="117" ht="14.25" customHeight="1">
      <c r="A117" s="31">
        <v>46236.625</v>
      </c>
      <c r="B117" s="26" t="s">
        <v>894</v>
      </c>
      <c r="C117" s="31">
        <v>46236.62847222222</v>
      </c>
      <c r="D117" s="26" t="s">
        <v>896</v>
      </c>
      <c r="E117" s="26" t="s">
        <v>1013</v>
      </c>
      <c r="F117" s="26" t="s">
        <v>898</v>
      </c>
      <c r="G117" s="26">
        <v>0.0</v>
      </c>
      <c r="H117" s="26">
        <v>2981.643</v>
      </c>
      <c r="I117" s="26">
        <v>1.0011</v>
      </c>
      <c r="J117" s="26">
        <v>2984.9264</v>
      </c>
      <c r="K117" s="26">
        <v>-3.2834</v>
      </c>
      <c r="L117" s="26">
        <v>0.0</v>
      </c>
    </row>
    <row r="118" ht="14.25" customHeight="1">
      <c r="A118" s="31">
        <v>46236.625</v>
      </c>
      <c r="B118" s="26" t="s">
        <v>894</v>
      </c>
      <c r="C118" s="31">
        <v>46236.62847222222</v>
      </c>
      <c r="D118" s="26" t="s">
        <v>896</v>
      </c>
      <c r="E118" s="26" t="s">
        <v>1014</v>
      </c>
      <c r="F118" s="26" t="s">
        <v>898</v>
      </c>
      <c r="G118" s="26">
        <v>0.0</v>
      </c>
      <c r="H118" s="26">
        <v>2961.644</v>
      </c>
      <c r="I118" s="26">
        <v>1.0078</v>
      </c>
      <c r="J118" s="26">
        <v>2984.9264</v>
      </c>
      <c r="K118" s="26">
        <v>-23.2824</v>
      </c>
      <c r="L118" s="26">
        <v>0.0</v>
      </c>
    </row>
    <row r="119" ht="14.25" customHeight="1">
      <c r="A119" s="31">
        <v>46236.625</v>
      </c>
      <c r="B119" s="26" t="s">
        <v>894</v>
      </c>
      <c r="C119" s="31">
        <v>46236.62847222222</v>
      </c>
      <c r="D119" s="26" t="s">
        <v>896</v>
      </c>
      <c r="E119" s="26" t="s">
        <v>1015</v>
      </c>
      <c r="F119" s="26" t="s">
        <v>898</v>
      </c>
      <c r="G119" s="26">
        <v>-8.74</v>
      </c>
      <c r="H119" s="26">
        <v>2961.644</v>
      </c>
      <c r="I119" s="26">
        <v>1.0078</v>
      </c>
      <c r="J119" s="26">
        <v>2984.9264</v>
      </c>
      <c r="K119" s="26">
        <v>-23.2824</v>
      </c>
      <c r="L119" s="26">
        <v>0.0</v>
      </c>
    </row>
    <row r="120" ht="14.25" customHeight="1">
      <c r="A120" s="31">
        <v>46236.625</v>
      </c>
      <c r="B120" s="26" t="s">
        <v>894</v>
      </c>
      <c r="C120" s="31">
        <v>46236.62847222222</v>
      </c>
      <c r="D120" s="26" t="s">
        <v>896</v>
      </c>
      <c r="E120" s="26" t="s">
        <v>1016</v>
      </c>
      <c r="F120" s="26" t="s">
        <v>898</v>
      </c>
      <c r="G120" s="26">
        <v>-2.91</v>
      </c>
      <c r="H120" s="26">
        <v>2961.644</v>
      </c>
      <c r="I120" s="26">
        <v>1.0078</v>
      </c>
      <c r="J120" s="26">
        <v>2984.9264</v>
      </c>
      <c r="K120" s="26">
        <v>-23.2824</v>
      </c>
      <c r="L120" s="26">
        <v>0.0</v>
      </c>
    </row>
    <row r="121" ht="14.25" customHeight="1">
      <c r="A121" s="31">
        <v>46236.625</v>
      </c>
      <c r="B121" s="26" t="s">
        <v>894</v>
      </c>
      <c r="C121" s="31">
        <v>46236.62847222222</v>
      </c>
      <c r="D121" s="26" t="s">
        <v>896</v>
      </c>
      <c r="E121" s="26" t="s">
        <v>1017</v>
      </c>
      <c r="F121" s="26" t="s">
        <v>898</v>
      </c>
      <c r="G121" s="26">
        <v>0.0</v>
      </c>
      <c r="H121" s="26">
        <v>2961.644</v>
      </c>
      <c r="I121" s="26">
        <v>1.0078</v>
      </c>
      <c r="J121" s="26">
        <v>2984.9264</v>
      </c>
      <c r="K121" s="26">
        <v>-23.2824</v>
      </c>
      <c r="L121" s="26">
        <v>0.0</v>
      </c>
    </row>
    <row r="122" ht="14.25" customHeight="1">
      <c r="A122" s="31">
        <v>46236.625</v>
      </c>
      <c r="B122" s="26" t="s">
        <v>894</v>
      </c>
      <c r="C122" s="31">
        <v>46236.62847222222</v>
      </c>
      <c r="D122" s="26" t="s">
        <v>896</v>
      </c>
      <c r="E122" s="26" t="s">
        <v>1018</v>
      </c>
      <c r="F122" s="26" t="s">
        <v>898</v>
      </c>
      <c r="G122" s="26">
        <v>-18.44</v>
      </c>
      <c r="H122" s="26">
        <v>3072.9818</v>
      </c>
      <c r="I122" s="26">
        <v>0.9713</v>
      </c>
      <c r="J122" s="26">
        <v>2984.9264</v>
      </c>
      <c r="K122" s="26">
        <v>88.0553</v>
      </c>
      <c r="L122" s="26">
        <v>0.0</v>
      </c>
    </row>
    <row r="123" ht="14.25" customHeight="1">
      <c r="A123" s="31">
        <v>46236.625</v>
      </c>
      <c r="B123" s="26" t="s">
        <v>894</v>
      </c>
      <c r="C123" s="31">
        <v>46236.62847222222</v>
      </c>
      <c r="D123" s="26" t="s">
        <v>896</v>
      </c>
      <c r="E123" s="26" t="s">
        <v>1019</v>
      </c>
      <c r="F123" s="26" t="s">
        <v>898</v>
      </c>
      <c r="G123" s="26">
        <v>-0.02</v>
      </c>
      <c r="H123" s="26">
        <v>3010.2983</v>
      </c>
      <c r="I123" s="26">
        <v>0.9916</v>
      </c>
      <c r="J123" s="26">
        <v>2984.9264</v>
      </c>
      <c r="K123" s="26">
        <v>25.3719</v>
      </c>
      <c r="L123" s="26">
        <v>0.0</v>
      </c>
    </row>
    <row r="124" ht="14.25" customHeight="1">
      <c r="A124" s="31">
        <v>46236.625</v>
      </c>
      <c r="B124" s="26" t="s">
        <v>894</v>
      </c>
      <c r="C124" s="31">
        <v>46236.62847222222</v>
      </c>
      <c r="D124" s="26" t="s">
        <v>896</v>
      </c>
      <c r="E124" s="26" t="s">
        <v>1020</v>
      </c>
      <c r="F124" s="26" t="s">
        <v>898</v>
      </c>
      <c r="G124" s="26">
        <v>0.0</v>
      </c>
      <c r="H124" s="26">
        <v>2984.9264</v>
      </c>
      <c r="I124" s="26">
        <v>1.0</v>
      </c>
      <c r="J124" s="26">
        <v>2984.9264</v>
      </c>
      <c r="K124" s="26">
        <v>0.0</v>
      </c>
      <c r="L124" s="26">
        <v>0.0</v>
      </c>
    </row>
    <row r="125" ht="14.25" customHeight="1">
      <c r="A125" s="31">
        <v>46236.625</v>
      </c>
      <c r="B125" s="26" t="s">
        <v>894</v>
      </c>
      <c r="C125" s="31">
        <v>46236.62847222222</v>
      </c>
      <c r="D125" s="26" t="s">
        <v>896</v>
      </c>
      <c r="E125" s="26" t="s">
        <v>1021</v>
      </c>
      <c r="F125" s="26" t="s">
        <v>898</v>
      </c>
      <c r="G125" s="26">
        <v>0.0</v>
      </c>
      <c r="H125" s="26">
        <v>3009.9998</v>
      </c>
      <c r="I125" s="26">
        <v>0.9916</v>
      </c>
      <c r="J125" s="26">
        <v>2984.9264</v>
      </c>
      <c r="K125" s="26">
        <v>25.0734</v>
      </c>
      <c r="L125" s="26">
        <v>0.0</v>
      </c>
    </row>
    <row r="126" ht="14.25" customHeight="1">
      <c r="A126" s="31">
        <v>46236.625</v>
      </c>
      <c r="B126" s="26" t="s">
        <v>894</v>
      </c>
      <c r="C126" s="31">
        <v>46236.62847222222</v>
      </c>
      <c r="D126" s="26" t="s">
        <v>896</v>
      </c>
      <c r="E126" s="26" t="s">
        <v>1022</v>
      </c>
      <c r="F126" s="26" t="s">
        <v>898</v>
      </c>
      <c r="G126" s="26">
        <v>-6.02</v>
      </c>
      <c r="H126" s="26">
        <v>3074.1757</v>
      </c>
      <c r="I126" s="26">
        <v>0.9709</v>
      </c>
      <c r="J126" s="26">
        <v>2984.9264</v>
      </c>
      <c r="K126" s="26">
        <v>89.2493</v>
      </c>
      <c r="L126" s="26">
        <v>0.0</v>
      </c>
    </row>
    <row r="127" ht="14.25" customHeight="1">
      <c r="A127" s="31">
        <v>46236.625</v>
      </c>
      <c r="B127" s="26" t="s">
        <v>894</v>
      </c>
      <c r="C127" s="31">
        <v>46236.62847222222</v>
      </c>
      <c r="D127" s="26" t="s">
        <v>896</v>
      </c>
      <c r="E127" s="26" t="s">
        <v>1023</v>
      </c>
      <c r="F127" s="26" t="s">
        <v>898</v>
      </c>
      <c r="G127" s="26">
        <v>-3.73</v>
      </c>
      <c r="H127" s="26">
        <v>3074.1757</v>
      </c>
      <c r="I127" s="26">
        <v>0.9709</v>
      </c>
      <c r="J127" s="26">
        <v>2984.9264</v>
      </c>
      <c r="K127" s="26">
        <v>89.2493</v>
      </c>
      <c r="L127" s="26">
        <v>0.0</v>
      </c>
    </row>
    <row r="128" ht="14.25" customHeight="1">
      <c r="A128" s="31">
        <v>46236.625</v>
      </c>
      <c r="B128" s="26" t="s">
        <v>894</v>
      </c>
      <c r="C128" s="31">
        <v>46236.62847222222</v>
      </c>
      <c r="D128" s="26" t="s">
        <v>896</v>
      </c>
      <c r="E128" s="26" t="s">
        <v>1024</v>
      </c>
      <c r="F128" s="26" t="s">
        <v>898</v>
      </c>
      <c r="G128" s="26">
        <v>-16.54</v>
      </c>
      <c r="H128" s="26">
        <v>3014.1787</v>
      </c>
      <c r="I128" s="26">
        <v>0.9903</v>
      </c>
      <c r="J128" s="26">
        <v>2984.9264</v>
      </c>
      <c r="K128" s="26">
        <v>29.2523</v>
      </c>
      <c r="L128" s="26">
        <v>0.0</v>
      </c>
    </row>
    <row r="129" ht="14.25" customHeight="1">
      <c r="A129" s="31">
        <v>46236.625</v>
      </c>
      <c r="B129" s="26" t="s">
        <v>894</v>
      </c>
      <c r="C129" s="31">
        <v>46236.62847222222</v>
      </c>
      <c r="D129" s="26" t="s">
        <v>896</v>
      </c>
      <c r="E129" s="26" t="s">
        <v>1025</v>
      </c>
      <c r="F129" s="26" t="s">
        <v>898</v>
      </c>
      <c r="G129" s="26">
        <v>0.0</v>
      </c>
      <c r="H129" s="26">
        <v>3030.5958</v>
      </c>
      <c r="I129" s="26">
        <v>0.9849</v>
      </c>
      <c r="J129" s="26">
        <v>2984.9264</v>
      </c>
      <c r="K129" s="26">
        <v>45.6694</v>
      </c>
      <c r="L129" s="26">
        <v>0.0</v>
      </c>
    </row>
    <row r="130" ht="14.25" customHeight="1">
      <c r="A130" s="31">
        <v>46236.625</v>
      </c>
      <c r="B130" s="26" t="s">
        <v>894</v>
      </c>
      <c r="C130" s="31">
        <v>46236.62847222222</v>
      </c>
      <c r="D130" s="26" t="s">
        <v>896</v>
      </c>
      <c r="E130" s="26" t="s">
        <v>1026</v>
      </c>
      <c r="F130" s="26" t="s">
        <v>898</v>
      </c>
      <c r="G130" s="26">
        <v>-8.12</v>
      </c>
      <c r="H130" s="26">
        <v>3030.5958</v>
      </c>
      <c r="I130" s="26">
        <v>0.9849</v>
      </c>
      <c r="J130" s="26">
        <v>2984.9264</v>
      </c>
      <c r="K130" s="26">
        <v>45.6694</v>
      </c>
      <c r="L130" s="26">
        <v>0.0</v>
      </c>
    </row>
    <row r="131" ht="14.25" customHeight="1">
      <c r="A131" s="31">
        <v>46236.625</v>
      </c>
      <c r="B131" s="26" t="s">
        <v>894</v>
      </c>
      <c r="C131" s="31">
        <v>46236.62847222222</v>
      </c>
      <c r="D131" s="26" t="s">
        <v>896</v>
      </c>
      <c r="E131" s="26" t="s">
        <v>1027</v>
      </c>
      <c r="F131" s="26" t="s">
        <v>898</v>
      </c>
      <c r="G131" s="26">
        <v>-6.66</v>
      </c>
      <c r="H131" s="26">
        <v>3030.5958</v>
      </c>
      <c r="I131" s="26">
        <v>0.9849</v>
      </c>
      <c r="J131" s="26">
        <v>2984.9264</v>
      </c>
      <c r="K131" s="26">
        <v>45.6694</v>
      </c>
      <c r="L131" s="26">
        <v>0.0</v>
      </c>
    </row>
    <row r="132" ht="14.25" customHeight="1">
      <c r="A132" s="31">
        <v>46236.625</v>
      </c>
      <c r="B132" s="26" t="s">
        <v>894</v>
      </c>
      <c r="C132" s="31">
        <v>46236.62847222222</v>
      </c>
      <c r="D132" s="26" t="s">
        <v>896</v>
      </c>
      <c r="E132" s="26" t="s">
        <v>1028</v>
      </c>
      <c r="F132" s="26" t="s">
        <v>898</v>
      </c>
      <c r="G132" s="26">
        <v>0.0</v>
      </c>
      <c r="H132" s="26">
        <v>2984.9264</v>
      </c>
      <c r="I132" s="26">
        <v>1.0</v>
      </c>
      <c r="J132" s="26">
        <v>2984.9264</v>
      </c>
      <c r="K132" s="26">
        <v>0.0</v>
      </c>
      <c r="L132" s="26">
        <v>0.0</v>
      </c>
    </row>
    <row r="133" ht="14.25" customHeight="1">
      <c r="A133" s="31">
        <v>46236.625</v>
      </c>
      <c r="B133" s="26" t="s">
        <v>894</v>
      </c>
      <c r="C133" s="31">
        <v>46236.62847222222</v>
      </c>
      <c r="D133" s="26" t="s">
        <v>896</v>
      </c>
      <c r="E133" s="26" t="s">
        <v>1029</v>
      </c>
      <c r="F133" s="26" t="s">
        <v>898</v>
      </c>
      <c r="G133" s="26">
        <v>-6.33</v>
      </c>
      <c r="H133" s="26">
        <v>3030.5958</v>
      </c>
      <c r="I133" s="26">
        <v>0.9849</v>
      </c>
      <c r="J133" s="26">
        <v>2984.9264</v>
      </c>
      <c r="K133" s="26">
        <v>45.6694</v>
      </c>
      <c r="L133" s="26">
        <v>0.0</v>
      </c>
    </row>
    <row r="134" ht="14.25" customHeight="1">
      <c r="A134" s="31">
        <v>46236.625</v>
      </c>
      <c r="B134" s="26" t="s">
        <v>894</v>
      </c>
      <c r="C134" s="31">
        <v>46236.62847222222</v>
      </c>
      <c r="D134" s="26" t="s">
        <v>896</v>
      </c>
      <c r="E134" s="26" t="s">
        <v>1030</v>
      </c>
      <c r="F134" s="26" t="s">
        <v>898</v>
      </c>
      <c r="G134" s="26">
        <v>0.0</v>
      </c>
      <c r="H134" s="26">
        <v>3030.5958</v>
      </c>
      <c r="I134" s="26">
        <v>0.9849</v>
      </c>
      <c r="J134" s="26">
        <v>2984.9264</v>
      </c>
      <c r="K134" s="26">
        <v>45.6694</v>
      </c>
      <c r="L134" s="26">
        <v>0.0</v>
      </c>
    </row>
    <row r="135" ht="14.25" customHeight="1">
      <c r="A135" s="31">
        <v>46236.625</v>
      </c>
      <c r="B135" s="26" t="s">
        <v>894</v>
      </c>
      <c r="C135" s="31">
        <v>46236.62847222222</v>
      </c>
      <c r="D135" s="26" t="s">
        <v>896</v>
      </c>
      <c r="E135" s="26" t="s">
        <v>1031</v>
      </c>
      <c r="F135" s="26" t="s">
        <v>898</v>
      </c>
      <c r="G135" s="26">
        <v>0.0</v>
      </c>
      <c r="H135" s="26">
        <v>3030.5958</v>
      </c>
      <c r="I135" s="26">
        <v>0.9849</v>
      </c>
      <c r="J135" s="26">
        <v>2984.9264</v>
      </c>
      <c r="K135" s="26">
        <v>45.6694</v>
      </c>
      <c r="L135" s="26">
        <v>0.0</v>
      </c>
    </row>
    <row r="136" ht="14.25" customHeight="1">
      <c r="A136" s="31">
        <v>46236.625</v>
      </c>
      <c r="B136" s="26" t="s">
        <v>894</v>
      </c>
      <c r="C136" s="31">
        <v>46236.62847222222</v>
      </c>
      <c r="D136" s="26" t="s">
        <v>896</v>
      </c>
      <c r="E136" s="26" t="s">
        <v>1032</v>
      </c>
      <c r="F136" s="26" t="s">
        <v>898</v>
      </c>
      <c r="G136" s="26">
        <v>0.0</v>
      </c>
      <c r="H136" s="26">
        <v>2995.9707</v>
      </c>
      <c r="I136" s="26">
        <v>0.9963</v>
      </c>
      <c r="J136" s="26">
        <v>2984.9264</v>
      </c>
      <c r="K136" s="26">
        <v>11.0442</v>
      </c>
      <c r="L136" s="26">
        <v>0.0</v>
      </c>
    </row>
    <row r="137" ht="14.25" customHeight="1">
      <c r="A137" s="31">
        <v>46236.625</v>
      </c>
      <c r="B137" s="26" t="s">
        <v>894</v>
      </c>
      <c r="C137" s="31">
        <v>46236.62847222222</v>
      </c>
      <c r="D137" s="26" t="s">
        <v>896</v>
      </c>
      <c r="E137" s="26" t="s">
        <v>1033</v>
      </c>
      <c r="F137" s="26" t="s">
        <v>898</v>
      </c>
      <c r="G137" s="26">
        <v>-31.29</v>
      </c>
      <c r="H137" s="26">
        <v>3104.622</v>
      </c>
      <c r="I137" s="26">
        <v>0.9614</v>
      </c>
      <c r="J137" s="26">
        <v>2984.9264</v>
      </c>
      <c r="K137" s="26">
        <v>119.6956</v>
      </c>
      <c r="L137" s="26">
        <v>0.0</v>
      </c>
    </row>
    <row r="138" ht="14.25" customHeight="1">
      <c r="A138" s="31">
        <v>46236.625</v>
      </c>
      <c r="B138" s="26" t="s">
        <v>894</v>
      </c>
      <c r="C138" s="31">
        <v>46236.62847222222</v>
      </c>
      <c r="D138" s="26" t="s">
        <v>896</v>
      </c>
      <c r="E138" s="26" t="s">
        <v>1034</v>
      </c>
      <c r="F138" s="26" t="s">
        <v>898</v>
      </c>
      <c r="G138" s="26">
        <v>-29.33</v>
      </c>
      <c r="H138" s="26">
        <v>3104.622</v>
      </c>
      <c r="I138" s="26">
        <v>0.9614</v>
      </c>
      <c r="J138" s="26">
        <v>2984.9264</v>
      </c>
      <c r="K138" s="26">
        <v>119.6956</v>
      </c>
      <c r="L138" s="26">
        <v>0.0</v>
      </c>
    </row>
    <row r="139" ht="14.25" customHeight="1">
      <c r="A139" s="31">
        <v>46236.625</v>
      </c>
      <c r="B139" s="26" t="s">
        <v>894</v>
      </c>
      <c r="C139" s="31">
        <v>46236.62847222222</v>
      </c>
      <c r="D139" s="26" t="s">
        <v>896</v>
      </c>
      <c r="E139" s="26" t="s">
        <v>1035</v>
      </c>
      <c r="F139" s="26" t="s">
        <v>898</v>
      </c>
      <c r="G139" s="26">
        <v>-2.98</v>
      </c>
      <c r="H139" s="26">
        <v>3104.622</v>
      </c>
      <c r="I139" s="26">
        <v>0.9614</v>
      </c>
      <c r="J139" s="26">
        <v>2984.9264</v>
      </c>
      <c r="K139" s="26">
        <v>119.6956</v>
      </c>
      <c r="L139" s="26">
        <v>0.0</v>
      </c>
    </row>
    <row r="140" ht="14.25" customHeight="1">
      <c r="A140" s="31">
        <v>46236.625</v>
      </c>
      <c r="B140" s="26" t="s">
        <v>894</v>
      </c>
      <c r="C140" s="31">
        <v>46236.62847222222</v>
      </c>
      <c r="D140" s="26" t="s">
        <v>896</v>
      </c>
      <c r="E140" s="26" t="s">
        <v>1036</v>
      </c>
      <c r="F140" s="26" t="s">
        <v>898</v>
      </c>
      <c r="G140" s="26">
        <v>0.0</v>
      </c>
      <c r="H140" s="26">
        <v>3104.9205</v>
      </c>
      <c r="I140" s="26">
        <v>0.9614</v>
      </c>
      <c r="J140" s="26">
        <v>2984.9264</v>
      </c>
      <c r="K140" s="26">
        <v>119.994</v>
      </c>
      <c r="L140" s="26">
        <v>0.0</v>
      </c>
    </row>
    <row r="141" ht="14.25" customHeight="1">
      <c r="A141" s="31">
        <v>46236.625</v>
      </c>
      <c r="B141" s="26" t="s">
        <v>894</v>
      </c>
      <c r="C141" s="31">
        <v>46236.62847222222</v>
      </c>
      <c r="D141" s="26" t="s">
        <v>896</v>
      </c>
      <c r="E141" s="26" t="s">
        <v>1037</v>
      </c>
      <c r="F141" s="26" t="s">
        <v>898</v>
      </c>
      <c r="G141" s="26">
        <v>0.0</v>
      </c>
      <c r="H141" s="26">
        <v>3014.1787</v>
      </c>
      <c r="I141" s="26">
        <v>0.9903</v>
      </c>
      <c r="J141" s="26">
        <v>2984.9264</v>
      </c>
      <c r="K141" s="26">
        <v>29.2523</v>
      </c>
      <c r="L141" s="26">
        <v>0.0</v>
      </c>
    </row>
    <row r="142" ht="14.25" customHeight="1">
      <c r="A142" s="31">
        <v>46236.625</v>
      </c>
      <c r="B142" s="26" t="s">
        <v>894</v>
      </c>
      <c r="C142" s="31">
        <v>46236.62847222222</v>
      </c>
      <c r="D142" s="26" t="s">
        <v>896</v>
      </c>
      <c r="E142" s="26" t="s">
        <v>1038</v>
      </c>
      <c r="F142" s="26" t="s">
        <v>898</v>
      </c>
      <c r="G142" s="26">
        <v>0.0</v>
      </c>
      <c r="H142" s="26">
        <v>3074.7727</v>
      </c>
      <c r="I142" s="26">
        <v>0.9708</v>
      </c>
      <c r="J142" s="26">
        <v>2984.9264</v>
      </c>
      <c r="K142" s="26">
        <v>89.8463</v>
      </c>
      <c r="L142" s="26">
        <v>0.0</v>
      </c>
    </row>
    <row r="143" ht="14.25" customHeight="1">
      <c r="A143" s="31">
        <v>46236.625</v>
      </c>
      <c r="B143" s="26" t="s">
        <v>894</v>
      </c>
      <c r="C143" s="31">
        <v>46236.62847222222</v>
      </c>
      <c r="D143" s="26" t="s">
        <v>896</v>
      </c>
      <c r="E143" s="26" t="s">
        <v>1039</v>
      </c>
      <c r="F143" s="26" t="s">
        <v>898</v>
      </c>
      <c r="G143" s="26">
        <v>-43.23</v>
      </c>
      <c r="H143" s="26">
        <v>3074.1757</v>
      </c>
      <c r="I143" s="26">
        <v>0.9709</v>
      </c>
      <c r="J143" s="26">
        <v>2984.9264</v>
      </c>
      <c r="K143" s="26">
        <v>89.2493</v>
      </c>
      <c r="L143" s="26">
        <v>0.0</v>
      </c>
    </row>
    <row r="144" ht="14.25" customHeight="1">
      <c r="A144" s="31">
        <v>46236.625</v>
      </c>
      <c r="B144" s="26" t="s">
        <v>894</v>
      </c>
      <c r="C144" s="31">
        <v>46236.62847222222</v>
      </c>
      <c r="D144" s="26" t="s">
        <v>896</v>
      </c>
      <c r="E144" s="26" t="s">
        <v>1040</v>
      </c>
      <c r="F144" s="26" t="s">
        <v>898</v>
      </c>
      <c r="G144" s="26">
        <v>0.0</v>
      </c>
      <c r="H144" s="26">
        <v>3074.1757</v>
      </c>
      <c r="I144" s="26">
        <v>0.9709</v>
      </c>
      <c r="J144" s="26">
        <v>2984.9264</v>
      </c>
      <c r="K144" s="26">
        <v>89.2493</v>
      </c>
      <c r="L144" s="26">
        <v>0.0</v>
      </c>
    </row>
    <row r="145" ht="14.25" customHeight="1">
      <c r="A145" s="31">
        <v>46236.625</v>
      </c>
      <c r="B145" s="26" t="s">
        <v>894</v>
      </c>
      <c r="C145" s="31">
        <v>46236.62847222222</v>
      </c>
      <c r="D145" s="26" t="s">
        <v>896</v>
      </c>
      <c r="E145" s="26" t="s">
        <v>1041</v>
      </c>
      <c r="F145" s="26" t="s">
        <v>898</v>
      </c>
      <c r="G145" s="26">
        <v>0.0</v>
      </c>
      <c r="H145" s="26">
        <v>3030.5958</v>
      </c>
      <c r="I145" s="26">
        <v>0.9849</v>
      </c>
      <c r="J145" s="26">
        <v>2984.9264</v>
      </c>
      <c r="K145" s="26">
        <v>45.6694</v>
      </c>
      <c r="L145" s="26">
        <v>0.0</v>
      </c>
    </row>
    <row r="146" ht="14.25" customHeight="1">
      <c r="A146" s="31">
        <v>46236.625</v>
      </c>
      <c r="B146" s="26" t="s">
        <v>894</v>
      </c>
      <c r="C146" s="31">
        <v>46236.62847222222</v>
      </c>
      <c r="D146" s="26" t="s">
        <v>896</v>
      </c>
      <c r="E146" s="26" t="s">
        <v>1042</v>
      </c>
      <c r="F146" s="26" t="s">
        <v>898</v>
      </c>
      <c r="G146" s="26">
        <v>-9.57</v>
      </c>
      <c r="H146" s="26">
        <v>2995.9707</v>
      </c>
      <c r="I146" s="26">
        <v>0.9964</v>
      </c>
      <c r="J146" s="26">
        <v>2984.9264</v>
      </c>
      <c r="K146" s="26">
        <v>11.0442</v>
      </c>
      <c r="L146" s="26">
        <v>0.0</v>
      </c>
    </row>
    <row r="147" ht="14.25" customHeight="1">
      <c r="A147" s="31">
        <v>46236.625</v>
      </c>
      <c r="B147" s="26" t="s">
        <v>894</v>
      </c>
      <c r="C147" s="31">
        <v>46236.62847222222</v>
      </c>
      <c r="D147" s="26" t="s">
        <v>896</v>
      </c>
      <c r="E147" s="26" t="s">
        <v>1043</v>
      </c>
      <c r="F147" s="26" t="s">
        <v>898</v>
      </c>
      <c r="G147" s="26">
        <v>-8.33</v>
      </c>
      <c r="H147" s="26">
        <v>2995.9707</v>
      </c>
      <c r="I147" s="26">
        <v>0.9964</v>
      </c>
      <c r="J147" s="26">
        <v>2984.9264</v>
      </c>
      <c r="K147" s="26">
        <v>11.0442</v>
      </c>
      <c r="L147" s="26">
        <v>0.0</v>
      </c>
    </row>
    <row r="148" ht="14.25" customHeight="1">
      <c r="A148" s="31">
        <v>46236.625</v>
      </c>
      <c r="B148" s="26" t="s">
        <v>894</v>
      </c>
      <c r="C148" s="31">
        <v>46236.62847222222</v>
      </c>
      <c r="D148" s="26" t="s">
        <v>896</v>
      </c>
      <c r="E148" s="26" t="s">
        <v>1044</v>
      </c>
      <c r="F148" s="26" t="s">
        <v>898</v>
      </c>
      <c r="G148" s="26">
        <v>-15.92</v>
      </c>
      <c r="H148" s="26">
        <v>2995.6722</v>
      </c>
      <c r="I148" s="26">
        <v>0.9964</v>
      </c>
      <c r="J148" s="26">
        <v>2984.9264</v>
      </c>
      <c r="K148" s="26">
        <v>10.7457</v>
      </c>
      <c r="L148" s="26">
        <v>0.0</v>
      </c>
    </row>
    <row r="149" ht="14.25" customHeight="1">
      <c r="A149" s="31">
        <v>46236.625</v>
      </c>
      <c r="B149" s="26" t="s">
        <v>894</v>
      </c>
      <c r="C149" s="31">
        <v>46236.62847222222</v>
      </c>
      <c r="D149" s="26" t="s">
        <v>896</v>
      </c>
      <c r="E149" s="26" t="s">
        <v>1045</v>
      </c>
      <c r="F149" s="26" t="s">
        <v>898</v>
      </c>
      <c r="G149" s="26">
        <v>-40.43</v>
      </c>
      <c r="H149" s="26">
        <v>2995.9707</v>
      </c>
      <c r="I149" s="26">
        <v>0.9963</v>
      </c>
      <c r="J149" s="26">
        <v>2984.9264</v>
      </c>
      <c r="K149" s="26">
        <v>11.0442</v>
      </c>
      <c r="L149" s="26">
        <v>0.0</v>
      </c>
    </row>
    <row r="150" ht="14.25" customHeight="1">
      <c r="A150" s="31">
        <v>46236.625</v>
      </c>
      <c r="B150" s="26" t="s">
        <v>894</v>
      </c>
      <c r="C150" s="31">
        <v>46236.62847222222</v>
      </c>
      <c r="D150" s="26" t="s">
        <v>896</v>
      </c>
      <c r="E150" s="26" t="s">
        <v>1046</v>
      </c>
      <c r="F150" s="26" t="s">
        <v>898</v>
      </c>
      <c r="G150" s="26">
        <v>0.0</v>
      </c>
      <c r="H150" s="26">
        <v>2995.9707</v>
      </c>
      <c r="I150" s="26">
        <v>0.9963</v>
      </c>
      <c r="J150" s="26">
        <v>2984.9264</v>
      </c>
      <c r="K150" s="26">
        <v>11.0442</v>
      </c>
      <c r="L150" s="26">
        <v>0.0</v>
      </c>
    </row>
    <row r="151" ht="14.25" customHeight="1">
      <c r="A151" s="31">
        <v>46236.625</v>
      </c>
      <c r="B151" s="26" t="s">
        <v>894</v>
      </c>
      <c r="C151" s="31">
        <v>46236.62847222222</v>
      </c>
      <c r="D151" s="26" t="s">
        <v>896</v>
      </c>
      <c r="E151" s="26" t="s">
        <v>1047</v>
      </c>
      <c r="F151" s="26" t="s">
        <v>898</v>
      </c>
      <c r="G151" s="26">
        <v>0.0</v>
      </c>
      <c r="H151" s="26">
        <v>3074.1757</v>
      </c>
      <c r="I151" s="26">
        <v>0.9709</v>
      </c>
      <c r="J151" s="26">
        <v>2984.9264</v>
      </c>
      <c r="K151" s="26">
        <v>89.2493</v>
      </c>
      <c r="L151" s="26">
        <v>0.0</v>
      </c>
    </row>
    <row r="152" ht="14.25" customHeight="1">
      <c r="A152" s="31">
        <v>46236.625</v>
      </c>
      <c r="B152" s="26" t="s">
        <v>894</v>
      </c>
      <c r="C152" s="31">
        <v>46236.62847222222</v>
      </c>
      <c r="D152" s="26" t="s">
        <v>896</v>
      </c>
      <c r="E152" s="26" t="s">
        <v>1048</v>
      </c>
      <c r="F152" s="26" t="s">
        <v>898</v>
      </c>
      <c r="G152" s="26">
        <v>-0.06</v>
      </c>
      <c r="H152" s="26">
        <v>3057.4601</v>
      </c>
      <c r="I152" s="26">
        <v>0.9763</v>
      </c>
      <c r="J152" s="26">
        <v>2984.9264</v>
      </c>
      <c r="K152" s="26">
        <v>72.5337</v>
      </c>
      <c r="L152" s="26">
        <v>0.0</v>
      </c>
    </row>
    <row r="153" ht="14.25" customHeight="1">
      <c r="A153" s="31">
        <v>46236.625</v>
      </c>
      <c r="B153" s="26" t="s">
        <v>894</v>
      </c>
      <c r="C153" s="31">
        <v>46236.62847222222</v>
      </c>
      <c r="D153" s="26" t="s">
        <v>896</v>
      </c>
      <c r="E153" s="26" t="s">
        <v>1049</v>
      </c>
      <c r="F153" s="26" t="s">
        <v>898</v>
      </c>
      <c r="G153" s="26">
        <v>-14.39</v>
      </c>
      <c r="H153" s="26">
        <v>3057.4601</v>
      </c>
      <c r="I153" s="26">
        <v>0.9763</v>
      </c>
      <c r="J153" s="26">
        <v>2984.9264</v>
      </c>
      <c r="K153" s="26">
        <v>72.5337</v>
      </c>
      <c r="L153" s="26">
        <v>0.0</v>
      </c>
    </row>
    <row r="154" ht="14.25" customHeight="1">
      <c r="A154" s="31">
        <v>46236.625</v>
      </c>
      <c r="B154" s="26" t="s">
        <v>894</v>
      </c>
      <c r="C154" s="31">
        <v>46236.62847222222</v>
      </c>
      <c r="D154" s="26" t="s">
        <v>896</v>
      </c>
      <c r="E154" s="26" t="s">
        <v>1050</v>
      </c>
      <c r="F154" s="26" t="s">
        <v>898</v>
      </c>
      <c r="G154" s="26">
        <v>-3.29</v>
      </c>
      <c r="H154" s="26">
        <v>3057.4601</v>
      </c>
      <c r="I154" s="26">
        <v>0.9763</v>
      </c>
      <c r="J154" s="26">
        <v>2984.9264</v>
      </c>
      <c r="K154" s="26">
        <v>72.5337</v>
      </c>
      <c r="L154" s="26">
        <v>0.0</v>
      </c>
    </row>
    <row r="155" ht="14.25" customHeight="1">
      <c r="A155" s="31">
        <v>46236.625</v>
      </c>
      <c r="B155" s="26" t="s">
        <v>894</v>
      </c>
      <c r="C155" s="31">
        <v>46236.62847222222</v>
      </c>
      <c r="D155" s="26" t="s">
        <v>896</v>
      </c>
      <c r="E155" s="26" t="s">
        <v>1051</v>
      </c>
      <c r="F155" s="26" t="s">
        <v>898</v>
      </c>
      <c r="G155" s="26">
        <v>0.0</v>
      </c>
      <c r="H155" s="26">
        <v>3058.9526</v>
      </c>
      <c r="I155" s="26">
        <v>0.9758</v>
      </c>
      <c r="J155" s="26">
        <v>2984.9264</v>
      </c>
      <c r="K155" s="26">
        <v>74.0262</v>
      </c>
      <c r="L155" s="26">
        <v>0.0</v>
      </c>
    </row>
    <row r="156" ht="14.25" customHeight="1">
      <c r="A156" s="31">
        <v>46236.625</v>
      </c>
      <c r="B156" s="26" t="s">
        <v>894</v>
      </c>
      <c r="C156" s="31">
        <v>46236.62847222222</v>
      </c>
      <c r="D156" s="26" t="s">
        <v>896</v>
      </c>
      <c r="E156" s="26" t="s">
        <v>1052</v>
      </c>
      <c r="F156" s="26" t="s">
        <v>898</v>
      </c>
      <c r="G156" s="26">
        <v>-0.18</v>
      </c>
      <c r="H156" s="26">
        <v>3021.3425</v>
      </c>
      <c r="I156" s="26">
        <v>0.9879</v>
      </c>
      <c r="J156" s="26">
        <v>2984.9264</v>
      </c>
      <c r="K156" s="26">
        <v>36.4161</v>
      </c>
      <c r="L156" s="26">
        <v>0.0</v>
      </c>
    </row>
    <row r="157" ht="14.25" customHeight="1">
      <c r="A157" s="31">
        <v>46236.625</v>
      </c>
      <c r="B157" s="26" t="s">
        <v>894</v>
      </c>
      <c r="C157" s="31">
        <v>46236.62847222222</v>
      </c>
      <c r="D157" s="26" t="s">
        <v>896</v>
      </c>
      <c r="E157" s="26" t="s">
        <v>1053</v>
      </c>
      <c r="F157" s="26" t="s">
        <v>898</v>
      </c>
      <c r="G157" s="26">
        <v>0.0</v>
      </c>
      <c r="H157" s="26">
        <v>3023.7305</v>
      </c>
      <c r="I157" s="26">
        <v>0.9872</v>
      </c>
      <c r="J157" s="26">
        <v>2984.9264</v>
      </c>
      <c r="K157" s="26">
        <v>38.804</v>
      </c>
      <c r="L157" s="26">
        <v>0.0</v>
      </c>
    </row>
    <row r="158" ht="14.25" customHeight="1">
      <c r="A158" s="31">
        <v>46236.625</v>
      </c>
      <c r="B158" s="26" t="s">
        <v>894</v>
      </c>
      <c r="C158" s="31">
        <v>46236.62847222222</v>
      </c>
      <c r="D158" s="26" t="s">
        <v>896</v>
      </c>
      <c r="E158" s="26" t="s">
        <v>1054</v>
      </c>
      <c r="F158" s="26" t="s">
        <v>898</v>
      </c>
      <c r="G158" s="26">
        <v>0.0</v>
      </c>
      <c r="H158" s="26">
        <v>3023.7305</v>
      </c>
      <c r="I158" s="26">
        <v>0.9872</v>
      </c>
      <c r="J158" s="26">
        <v>2984.9264</v>
      </c>
      <c r="K158" s="26">
        <v>38.804</v>
      </c>
      <c r="L158" s="26">
        <v>0.0</v>
      </c>
    </row>
    <row r="159" ht="14.25" customHeight="1">
      <c r="A159" s="31">
        <v>46236.625</v>
      </c>
      <c r="B159" s="26" t="s">
        <v>894</v>
      </c>
      <c r="C159" s="31">
        <v>46236.62847222222</v>
      </c>
      <c r="D159" s="26" t="s">
        <v>896</v>
      </c>
      <c r="E159" s="26" t="s">
        <v>1055</v>
      </c>
      <c r="F159" s="26" t="s">
        <v>898</v>
      </c>
      <c r="G159" s="26">
        <v>-27.65</v>
      </c>
      <c r="H159" s="26">
        <v>3023.7305</v>
      </c>
      <c r="I159" s="26">
        <v>0.9872</v>
      </c>
      <c r="J159" s="26">
        <v>2984.9264</v>
      </c>
      <c r="K159" s="26">
        <v>38.804</v>
      </c>
      <c r="L159" s="26">
        <v>0.0</v>
      </c>
    </row>
    <row r="160" ht="14.25" customHeight="1">
      <c r="A160" s="31">
        <v>46236.625</v>
      </c>
      <c r="B160" s="26" t="s">
        <v>894</v>
      </c>
      <c r="C160" s="31">
        <v>46236.62847222222</v>
      </c>
      <c r="D160" s="26" t="s">
        <v>896</v>
      </c>
      <c r="E160" s="26" t="s">
        <v>1056</v>
      </c>
      <c r="F160" s="26" t="s">
        <v>898</v>
      </c>
      <c r="G160" s="26">
        <v>-34.52</v>
      </c>
      <c r="H160" s="26">
        <v>3023.7305</v>
      </c>
      <c r="I160" s="26">
        <v>0.9872</v>
      </c>
      <c r="J160" s="26">
        <v>2984.9264</v>
      </c>
      <c r="K160" s="26">
        <v>38.804</v>
      </c>
      <c r="L160" s="26">
        <v>0.0</v>
      </c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8.71"/>
  </cols>
  <sheetData>
    <row r="1" ht="14.25" customHeight="1">
      <c r="A1" s="32" t="s">
        <v>882</v>
      </c>
      <c r="B1" s="32" t="s">
        <v>883</v>
      </c>
      <c r="C1" s="32" t="s">
        <v>1059</v>
      </c>
      <c r="D1" s="32" t="s">
        <v>1060</v>
      </c>
      <c r="E1" s="32" t="s">
        <v>1061</v>
      </c>
      <c r="F1" s="32" t="s">
        <v>884</v>
      </c>
      <c r="G1" s="32" t="s">
        <v>1062</v>
      </c>
      <c r="H1" s="32" t="s">
        <v>1063</v>
      </c>
      <c r="I1" s="32" t="s">
        <v>1064</v>
      </c>
      <c r="J1" s="33" t="s">
        <v>1065</v>
      </c>
      <c r="K1" s="33" t="s">
        <v>1066</v>
      </c>
      <c r="L1" s="33" t="s">
        <v>1067</v>
      </c>
      <c r="M1" s="33" t="s">
        <v>1068</v>
      </c>
      <c r="N1" s="33" t="s">
        <v>1069</v>
      </c>
      <c r="O1" s="33" t="s">
        <v>1070</v>
      </c>
      <c r="P1" s="33" t="s">
        <v>1071</v>
      </c>
      <c r="Q1" s="33" t="s">
        <v>1072</v>
      </c>
      <c r="R1" s="33" t="s">
        <v>1073</v>
      </c>
      <c r="S1" s="33" t="s">
        <v>1074</v>
      </c>
      <c r="T1" s="33" t="s">
        <v>1075</v>
      </c>
      <c r="U1" s="33" t="s">
        <v>1076</v>
      </c>
      <c r="V1" s="33" t="s">
        <v>1077</v>
      </c>
      <c r="W1" s="33" t="s">
        <v>1078</v>
      </c>
      <c r="X1" s="33" t="s">
        <v>1079</v>
      </c>
      <c r="Y1" s="33" t="s">
        <v>1080</v>
      </c>
      <c r="Z1" s="33" t="s">
        <v>1081</v>
      </c>
      <c r="AA1" s="33" t="s">
        <v>1082</v>
      </c>
      <c r="AB1" s="33" t="s">
        <v>1083</v>
      </c>
      <c r="AC1" s="33" t="s">
        <v>1084</v>
      </c>
      <c r="AD1" s="33" t="s">
        <v>1085</v>
      </c>
      <c r="AE1" s="33" t="s">
        <v>1086</v>
      </c>
      <c r="AF1" s="33" t="s">
        <v>1087</v>
      </c>
      <c r="AG1" s="33" t="s">
        <v>1088</v>
      </c>
      <c r="AH1" s="33" t="s">
        <v>1089</v>
      </c>
      <c r="AI1" s="33" t="s">
        <v>1090</v>
      </c>
      <c r="AJ1" s="33" t="s">
        <v>1091</v>
      </c>
      <c r="AK1" s="33" t="s">
        <v>1092</v>
      </c>
      <c r="AL1" s="33" t="s">
        <v>1093</v>
      </c>
      <c r="AM1" s="33" t="s">
        <v>1094</v>
      </c>
      <c r="AN1" s="33" t="s">
        <v>1095</v>
      </c>
      <c r="AO1" s="33" t="s">
        <v>1096</v>
      </c>
      <c r="AP1" s="33" t="s">
        <v>1097</v>
      </c>
      <c r="AQ1" s="33" t="s">
        <v>1098</v>
      </c>
      <c r="AR1" s="33" t="s">
        <v>1099</v>
      </c>
      <c r="AS1" s="33" t="s">
        <v>1100</v>
      </c>
      <c r="AT1" s="33" t="s">
        <v>1101</v>
      </c>
    </row>
    <row r="2" ht="14.25" customHeight="1">
      <c r="A2" s="26" t="s">
        <v>893</v>
      </c>
      <c r="B2" s="26" t="s">
        <v>894</v>
      </c>
      <c r="C2" s="26" t="s">
        <v>896</v>
      </c>
      <c r="D2" s="26" t="s">
        <v>1102</v>
      </c>
      <c r="E2" s="26" t="s">
        <v>1103</v>
      </c>
      <c r="F2" s="26" t="s">
        <v>895</v>
      </c>
      <c r="G2" s="26" t="s">
        <v>893</v>
      </c>
      <c r="H2" s="26" t="s">
        <v>895</v>
      </c>
      <c r="I2" s="26" t="s">
        <v>1104</v>
      </c>
      <c r="J2" s="26">
        <v>21900.0</v>
      </c>
      <c r="K2" s="26">
        <v>0.0</v>
      </c>
      <c r="L2" s="26">
        <v>21900.0</v>
      </c>
      <c r="M2" s="26">
        <v>5.5</v>
      </c>
      <c r="N2" s="26">
        <v>21910.0</v>
      </c>
      <c r="O2" s="26">
        <v>10.9</v>
      </c>
      <c r="AF2" s="26">
        <v>1.0</v>
      </c>
      <c r="AG2" s="26">
        <v>0.2</v>
      </c>
      <c r="AH2" s="26">
        <v>2.2</v>
      </c>
      <c r="AI2" s="26">
        <v>5.5</v>
      </c>
      <c r="AJ2" s="26">
        <v>1.1</v>
      </c>
      <c r="AK2" s="26">
        <v>2.2</v>
      </c>
      <c r="AL2" s="26">
        <v>10.9</v>
      </c>
      <c r="AM2" s="26">
        <v>2.2</v>
      </c>
      <c r="AN2" s="26">
        <v>2.2</v>
      </c>
    </row>
    <row r="3" ht="14.25" customHeight="1">
      <c r="A3" s="26" t="s">
        <v>893</v>
      </c>
      <c r="B3" s="26" t="s">
        <v>894</v>
      </c>
      <c r="C3" s="26" t="s">
        <v>896</v>
      </c>
      <c r="D3" s="26" t="s">
        <v>1102</v>
      </c>
      <c r="E3" s="26" t="s">
        <v>1105</v>
      </c>
      <c r="F3" s="26" t="s">
        <v>895</v>
      </c>
      <c r="G3" s="26" t="s">
        <v>893</v>
      </c>
      <c r="H3" s="26" t="s">
        <v>895</v>
      </c>
      <c r="I3" s="26" t="s">
        <v>1106</v>
      </c>
      <c r="J3" s="26">
        <v>31995.0</v>
      </c>
      <c r="K3" s="26">
        <v>0.0</v>
      </c>
      <c r="L3" s="26">
        <v>31995.0</v>
      </c>
      <c r="M3" s="26">
        <v>10.0</v>
      </c>
      <c r="AF3" s="26">
        <v>10.0</v>
      </c>
      <c r="AG3" s="26">
        <v>5.0</v>
      </c>
      <c r="AH3" s="26">
        <v>5.0</v>
      </c>
    </row>
    <row r="4" ht="14.25" customHeight="1">
      <c r="A4" s="26" t="s">
        <v>893</v>
      </c>
      <c r="B4" s="26" t="s">
        <v>894</v>
      </c>
      <c r="C4" s="26" t="s">
        <v>896</v>
      </c>
      <c r="D4" s="26" t="s">
        <v>1102</v>
      </c>
      <c r="E4" s="26" t="s">
        <v>1107</v>
      </c>
      <c r="F4" s="26" t="s">
        <v>895</v>
      </c>
      <c r="G4" s="26" t="s">
        <v>893</v>
      </c>
      <c r="H4" s="26" t="s">
        <v>895</v>
      </c>
      <c r="I4" s="26" t="s">
        <v>1106</v>
      </c>
      <c r="J4" s="26">
        <v>31998.0</v>
      </c>
      <c r="K4" s="26">
        <v>0.0</v>
      </c>
      <c r="L4" s="26">
        <v>31998.0</v>
      </c>
      <c r="M4" s="26">
        <v>10.0</v>
      </c>
      <c r="AF4" s="26">
        <v>10.0</v>
      </c>
      <c r="AG4" s="26">
        <v>5.0</v>
      </c>
      <c r="AH4" s="26">
        <v>5.0</v>
      </c>
    </row>
    <row r="5" ht="14.25" customHeight="1">
      <c r="A5" s="26" t="s">
        <v>893</v>
      </c>
      <c r="B5" s="26" t="s">
        <v>894</v>
      </c>
      <c r="C5" s="26" t="s">
        <v>896</v>
      </c>
      <c r="D5" s="26" t="s">
        <v>1102</v>
      </c>
      <c r="E5" s="26" t="s">
        <v>1108</v>
      </c>
      <c r="F5" s="26" t="s">
        <v>895</v>
      </c>
      <c r="G5" s="26" t="s">
        <v>893</v>
      </c>
      <c r="H5" s="26" t="s">
        <v>895</v>
      </c>
      <c r="I5" s="26" t="s">
        <v>1106</v>
      </c>
      <c r="J5" s="26">
        <v>31999.0</v>
      </c>
      <c r="K5" s="26">
        <v>0.0</v>
      </c>
      <c r="L5" s="26">
        <v>31999.0</v>
      </c>
      <c r="M5" s="26">
        <v>15.0</v>
      </c>
      <c r="AF5" s="26">
        <v>15.0</v>
      </c>
      <c r="AG5" s="26">
        <v>5.0</v>
      </c>
      <c r="AH5" s="26">
        <v>5.0</v>
      </c>
    </row>
    <row r="6" ht="14.25" customHeight="1">
      <c r="A6" s="26" t="s">
        <v>893</v>
      </c>
      <c r="B6" s="26" t="s">
        <v>894</v>
      </c>
      <c r="C6" s="26" t="s">
        <v>896</v>
      </c>
      <c r="D6" s="26" t="s">
        <v>1102</v>
      </c>
      <c r="E6" s="26" t="s">
        <v>1109</v>
      </c>
      <c r="F6" s="26" t="s">
        <v>895</v>
      </c>
      <c r="G6" s="26" t="s">
        <v>893</v>
      </c>
      <c r="H6" s="26" t="s">
        <v>895</v>
      </c>
      <c r="I6" s="26" t="s">
        <v>1106</v>
      </c>
      <c r="J6" s="26">
        <v>31997.0</v>
      </c>
      <c r="K6" s="26">
        <v>0.0</v>
      </c>
      <c r="L6" s="26">
        <v>31997.0</v>
      </c>
      <c r="M6" s="26">
        <v>10.0</v>
      </c>
      <c r="AF6" s="26">
        <v>10.0</v>
      </c>
      <c r="AG6" s="26">
        <v>5.0</v>
      </c>
      <c r="AH6" s="26">
        <v>5.0</v>
      </c>
    </row>
    <row r="7" ht="14.25" customHeight="1">
      <c r="A7" s="26" t="s">
        <v>893</v>
      </c>
      <c r="B7" s="26" t="s">
        <v>894</v>
      </c>
      <c r="C7" s="26" t="s">
        <v>896</v>
      </c>
      <c r="D7" s="26" t="s">
        <v>1102</v>
      </c>
      <c r="E7" s="26" t="s">
        <v>1110</v>
      </c>
      <c r="F7" s="26" t="s">
        <v>895</v>
      </c>
      <c r="G7" s="26" t="s">
        <v>893</v>
      </c>
      <c r="H7" s="26" t="s">
        <v>895</v>
      </c>
      <c r="I7" s="26" t="s">
        <v>1106</v>
      </c>
      <c r="J7" s="26">
        <v>31996.0</v>
      </c>
      <c r="K7" s="26">
        <v>0.0</v>
      </c>
      <c r="L7" s="26">
        <v>31996.0</v>
      </c>
      <c r="M7" s="26">
        <v>15.0</v>
      </c>
      <c r="AF7" s="26">
        <v>15.0</v>
      </c>
      <c r="AG7" s="26">
        <v>5.0</v>
      </c>
      <c r="AH7" s="26">
        <v>5.0</v>
      </c>
    </row>
    <row r="8" ht="14.25" customHeight="1">
      <c r="A8" s="26" t="s">
        <v>893</v>
      </c>
      <c r="B8" s="26" t="s">
        <v>894</v>
      </c>
      <c r="C8" s="26" t="s">
        <v>896</v>
      </c>
      <c r="D8" s="26" t="s">
        <v>1102</v>
      </c>
      <c r="E8" s="26" t="s">
        <v>1111</v>
      </c>
      <c r="F8" s="26" t="s">
        <v>895</v>
      </c>
      <c r="G8" s="26" t="s">
        <v>893</v>
      </c>
      <c r="H8" s="26" t="s">
        <v>895</v>
      </c>
      <c r="I8" s="26" t="s">
        <v>1106</v>
      </c>
      <c r="J8" s="26">
        <v>32000.0</v>
      </c>
      <c r="K8" s="26">
        <v>0.0</v>
      </c>
      <c r="L8" s="26">
        <v>32000.0</v>
      </c>
      <c r="M8" s="26">
        <v>10.0</v>
      </c>
      <c r="AF8" s="26">
        <v>10.0</v>
      </c>
      <c r="AG8" s="26">
        <v>5.0</v>
      </c>
      <c r="AH8" s="26">
        <v>5.0</v>
      </c>
    </row>
    <row r="9" ht="14.25" customHeight="1">
      <c r="A9" s="26" t="s">
        <v>893</v>
      </c>
      <c r="B9" s="26" t="s">
        <v>894</v>
      </c>
      <c r="C9" s="26" t="s">
        <v>896</v>
      </c>
      <c r="D9" s="26" t="s">
        <v>1102</v>
      </c>
      <c r="E9" s="26" t="s">
        <v>1112</v>
      </c>
      <c r="F9" s="26" t="s">
        <v>895</v>
      </c>
      <c r="G9" s="26" t="s">
        <v>893</v>
      </c>
      <c r="H9" s="26" t="s">
        <v>895</v>
      </c>
      <c r="I9" s="26" t="s">
        <v>1113</v>
      </c>
      <c r="J9" s="26">
        <v>32000.0</v>
      </c>
      <c r="K9" s="26">
        <v>0.0</v>
      </c>
      <c r="L9" s="26">
        <v>32000.0</v>
      </c>
      <c r="M9" s="26">
        <v>40.0</v>
      </c>
      <c r="AF9" s="26">
        <v>40.0</v>
      </c>
      <c r="AG9" s="26">
        <v>5004.0</v>
      </c>
      <c r="AH9" s="26">
        <v>5004.0</v>
      </c>
    </row>
    <row r="10" ht="14.25" customHeight="1">
      <c r="A10" s="26" t="s">
        <v>893</v>
      </c>
      <c r="B10" s="26" t="s">
        <v>894</v>
      </c>
      <c r="C10" s="26" t="s">
        <v>896</v>
      </c>
      <c r="D10" s="26" t="s">
        <v>1102</v>
      </c>
      <c r="E10" s="26" t="s">
        <v>1114</v>
      </c>
      <c r="F10" s="26" t="s">
        <v>895</v>
      </c>
      <c r="G10" s="26" t="s">
        <v>893</v>
      </c>
      <c r="H10" s="26" t="s">
        <v>895</v>
      </c>
      <c r="I10" s="26" t="s">
        <v>1115</v>
      </c>
      <c r="J10" s="26">
        <v>-10000.0</v>
      </c>
      <c r="K10" s="26">
        <v>-10.0</v>
      </c>
      <c r="L10" s="26">
        <v>-10000.0</v>
      </c>
      <c r="M10" s="26">
        <v>0.0</v>
      </c>
      <c r="N10" s="26">
        <v>32000.0</v>
      </c>
      <c r="O10" s="26">
        <v>10.0</v>
      </c>
      <c r="AF10" s="26">
        <v>10.0</v>
      </c>
      <c r="AG10" s="26">
        <v>800.0</v>
      </c>
      <c r="AH10" s="26">
        <v>800.0</v>
      </c>
    </row>
    <row r="11" ht="14.25" customHeight="1">
      <c r="A11" s="26" t="s">
        <v>893</v>
      </c>
      <c r="B11" s="26" t="s">
        <v>894</v>
      </c>
      <c r="C11" s="26" t="s">
        <v>896</v>
      </c>
      <c r="D11" s="26" t="s">
        <v>248</v>
      </c>
      <c r="E11" s="26" t="s">
        <v>1116</v>
      </c>
      <c r="F11" s="26" t="s">
        <v>895</v>
      </c>
      <c r="G11" s="26" t="s">
        <v>893</v>
      </c>
      <c r="H11" s="26" t="s">
        <v>895</v>
      </c>
      <c r="I11" s="26" t="s">
        <v>1117</v>
      </c>
      <c r="J11" s="26">
        <v>27587.0</v>
      </c>
      <c r="K11" s="26">
        <v>0.0</v>
      </c>
      <c r="L11" s="26">
        <v>27587.0</v>
      </c>
      <c r="M11" s="26">
        <v>10.0</v>
      </c>
      <c r="AF11" s="26">
        <v>10.0</v>
      </c>
      <c r="AG11" s="26">
        <v>1.0</v>
      </c>
      <c r="AH11" s="26">
        <v>1.0</v>
      </c>
    </row>
    <row r="12" ht="14.25" customHeight="1">
      <c r="A12" s="26" t="s">
        <v>893</v>
      </c>
      <c r="B12" s="26" t="s">
        <v>894</v>
      </c>
      <c r="C12" s="26" t="s">
        <v>896</v>
      </c>
      <c r="D12" s="26" t="s">
        <v>248</v>
      </c>
      <c r="E12" s="26" t="s">
        <v>1118</v>
      </c>
      <c r="F12" s="26" t="s">
        <v>895</v>
      </c>
      <c r="G12" s="26" t="s">
        <v>893</v>
      </c>
      <c r="H12" s="26" t="s">
        <v>895</v>
      </c>
      <c r="I12" s="26" t="s">
        <v>1117</v>
      </c>
      <c r="J12" s="26">
        <v>27587.0</v>
      </c>
      <c r="K12" s="26">
        <v>0.0</v>
      </c>
      <c r="L12" s="26">
        <v>27587.0</v>
      </c>
      <c r="M12" s="26">
        <v>10.0</v>
      </c>
      <c r="AF12" s="26">
        <v>10.0</v>
      </c>
      <c r="AG12" s="26">
        <v>1.0</v>
      </c>
      <c r="AH12" s="26">
        <v>1.0</v>
      </c>
    </row>
    <row r="13" ht="14.25" customHeight="1">
      <c r="A13" s="26" t="s">
        <v>893</v>
      </c>
      <c r="B13" s="26" t="s">
        <v>894</v>
      </c>
      <c r="C13" s="26" t="s">
        <v>896</v>
      </c>
      <c r="D13" s="26" t="s">
        <v>248</v>
      </c>
      <c r="E13" s="26" t="s">
        <v>1119</v>
      </c>
      <c r="F13" s="26" t="s">
        <v>895</v>
      </c>
      <c r="G13" s="26" t="s">
        <v>893</v>
      </c>
      <c r="H13" s="26" t="s">
        <v>895</v>
      </c>
      <c r="I13" s="26" t="s">
        <v>1120</v>
      </c>
      <c r="J13" s="26">
        <v>-10000.0</v>
      </c>
      <c r="K13" s="26">
        <v>0.0</v>
      </c>
      <c r="L13" s="26">
        <v>-10000.0</v>
      </c>
      <c r="M13" s="26">
        <v>45.1</v>
      </c>
      <c r="N13" s="26">
        <v>3140.0</v>
      </c>
      <c r="O13" s="26">
        <v>83.2</v>
      </c>
      <c r="AF13" s="26">
        <v>45.1</v>
      </c>
      <c r="AG13" s="26">
        <v>1.0</v>
      </c>
      <c r="AH13" s="26">
        <v>1.0</v>
      </c>
      <c r="AI13" s="26">
        <v>83.2</v>
      </c>
      <c r="AJ13" s="26">
        <v>1.0</v>
      </c>
      <c r="AK13" s="26">
        <v>1.0</v>
      </c>
    </row>
    <row r="14" ht="14.25" customHeight="1">
      <c r="A14" s="26" t="s">
        <v>893</v>
      </c>
      <c r="B14" s="26" t="s">
        <v>894</v>
      </c>
      <c r="C14" s="26" t="s">
        <v>896</v>
      </c>
      <c r="D14" s="26" t="s">
        <v>248</v>
      </c>
      <c r="E14" s="26" t="s">
        <v>1121</v>
      </c>
      <c r="F14" s="26" t="s">
        <v>895</v>
      </c>
      <c r="G14" s="26" t="s">
        <v>893</v>
      </c>
      <c r="H14" s="26" t="s">
        <v>895</v>
      </c>
      <c r="I14" s="26" t="s">
        <v>1120</v>
      </c>
      <c r="J14" s="26">
        <v>-10000.0</v>
      </c>
      <c r="K14" s="26">
        <v>0.0</v>
      </c>
      <c r="L14" s="26">
        <v>-10000.0</v>
      </c>
      <c r="M14" s="26">
        <v>45.1</v>
      </c>
      <c r="N14" s="26">
        <v>3140.0</v>
      </c>
      <c r="O14" s="26">
        <v>83.4</v>
      </c>
      <c r="AF14" s="26">
        <v>45.1</v>
      </c>
      <c r="AG14" s="26">
        <v>1.0</v>
      </c>
      <c r="AH14" s="26">
        <v>1.0</v>
      </c>
      <c r="AI14" s="26">
        <v>83.4</v>
      </c>
      <c r="AJ14" s="26">
        <v>1.0</v>
      </c>
      <c r="AK14" s="26">
        <v>1.0</v>
      </c>
    </row>
    <row r="15" ht="14.25" customHeight="1">
      <c r="A15" s="26" t="s">
        <v>893</v>
      </c>
      <c r="B15" s="26" t="s">
        <v>894</v>
      </c>
      <c r="C15" s="26" t="s">
        <v>896</v>
      </c>
      <c r="D15" s="26" t="s">
        <v>248</v>
      </c>
      <c r="E15" s="26" t="s">
        <v>1122</v>
      </c>
      <c r="F15" s="26" t="s">
        <v>895</v>
      </c>
      <c r="G15" s="26" t="s">
        <v>893</v>
      </c>
      <c r="H15" s="26" t="s">
        <v>895</v>
      </c>
      <c r="I15" s="26" t="s">
        <v>1120</v>
      </c>
      <c r="J15" s="26">
        <v>-10000.0</v>
      </c>
      <c r="K15" s="26">
        <v>0.0</v>
      </c>
      <c r="L15" s="26">
        <v>-10000.0</v>
      </c>
      <c r="M15" s="26">
        <v>45.1</v>
      </c>
      <c r="N15" s="26">
        <v>3140.0</v>
      </c>
      <c r="O15" s="26">
        <v>83.1</v>
      </c>
      <c r="AF15" s="26">
        <v>45.1</v>
      </c>
      <c r="AG15" s="26">
        <v>1.0</v>
      </c>
      <c r="AH15" s="26">
        <v>1.0</v>
      </c>
      <c r="AI15" s="26">
        <v>83.1</v>
      </c>
      <c r="AJ15" s="26">
        <v>1.0</v>
      </c>
      <c r="AK15" s="26">
        <v>1.0</v>
      </c>
    </row>
    <row r="16" ht="14.25" customHeight="1">
      <c r="A16" s="26" t="s">
        <v>893</v>
      </c>
      <c r="B16" s="26" t="s">
        <v>894</v>
      </c>
      <c r="C16" s="26" t="s">
        <v>896</v>
      </c>
      <c r="D16" s="26" t="s">
        <v>248</v>
      </c>
      <c r="E16" s="26" t="s">
        <v>1123</v>
      </c>
      <c r="F16" s="26" t="s">
        <v>895</v>
      </c>
      <c r="G16" s="26" t="s">
        <v>893</v>
      </c>
      <c r="H16" s="26" t="s">
        <v>895</v>
      </c>
      <c r="I16" s="26" t="s">
        <v>1124</v>
      </c>
      <c r="J16" s="26">
        <v>32000.0</v>
      </c>
      <c r="K16" s="26">
        <v>0.0</v>
      </c>
      <c r="L16" s="26">
        <v>32000.0</v>
      </c>
      <c r="M16" s="26">
        <v>6.5</v>
      </c>
      <c r="AF16" s="26">
        <v>4.0</v>
      </c>
      <c r="AG16" s="26">
        <v>0.3</v>
      </c>
      <c r="AH16" s="26">
        <v>0.7</v>
      </c>
      <c r="AI16" s="26">
        <v>6.5</v>
      </c>
      <c r="AJ16" s="26">
        <v>0.4</v>
      </c>
      <c r="AK16" s="26">
        <v>1.4</v>
      </c>
    </row>
    <row r="17" ht="14.25" customHeight="1">
      <c r="A17" s="26" t="s">
        <v>893</v>
      </c>
      <c r="B17" s="26" t="s">
        <v>894</v>
      </c>
      <c r="C17" s="26" t="s">
        <v>896</v>
      </c>
      <c r="D17" s="26" t="s">
        <v>248</v>
      </c>
      <c r="E17" s="26" t="s">
        <v>1125</v>
      </c>
      <c r="F17" s="26" t="s">
        <v>895</v>
      </c>
      <c r="G17" s="26" t="s">
        <v>893</v>
      </c>
      <c r="H17" s="26" t="s">
        <v>895</v>
      </c>
      <c r="I17" s="26" t="s">
        <v>1124</v>
      </c>
      <c r="J17" s="26">
        <v>32000.0</v>
      </c>
      <c r="K17" s="26">
        <v>0.0</v>
      </c>
      <c r="L17" s="26">
        <v>32000.0</v>
      </c>
      <c r="M17" s="26">
        <v>6.5</v>
      </c>
      <c r="AF17" s="26">
        <v>4.0</v>
      </c>
      <c r="AG17" s="26">
        <v>0.3</v>
      </c>
      <c r="AH17" s="26">
        <v>0.7</v>
      </c>
      <c r="AI17" s="26">
        <v>6.5</v>
      </c>
      <c r="AJ17" s="26">
        <v>0.4</v>
      </c>
      <c r="AK17" s="26">
        <v>1.4</v>
      </c>
    </row>
    <row r="18" ht="14.25" customHeight="1">
      <c r="A18" s="26" t="s">
        <v>893</v>
      </c>
      <c r="B18" s="26" t="s">
        <v>894</v>
      </c>
      <c r="C18" s="26" t="s">
        <v>896</v>
      </c>
      <c r="D18" s="26" t="s">
        <v>248</v>
      </c>
      <c r="E18" s="26" t="s">
        <v>1126</v>
      </c>
      <c r="F18" s="26" t="s">
        <v>895</v>
      </c>
      <c r="G18" s="26" t="s">
        <v>893</v>
      </c>
      <c r="H18" s="26" t="s">
        <v>895</v>
      </c>
      <c r="I18" s="26" t="s">
        <v>1124</v>
      </c>
      <c r="J18" s="26">
        <v>32000.0</v>
      </c>
      <c r="K18" s="26">
        <v>0.0</v>
      </c>
      <c r="L18" s="26">
        <v>32000.0</v>
      </c>
      <c r="M18" s="26">
        <v>6.5</v>
      </c>
      <c r="AF18" s="26">
        <v>4.0</v>
      </c>
      <c r="AG18" s="26">
        <v>0.3</v>
      </c>
      <c r="AH18" s="26">
        <v>0.7</v>
      </c>
      <c r="AI18" s="26">
        <v>6.5</v>
      </c>
      <c r="AJ18" s="26">
        <v>0.4</v>
      </c>
      <c r="AK18" s="26">
        <v>1.4</v>
      </c>
    </row>
    <row r="19" ht="14.25" customHeight="1">
      <c r="A19" s="26" t="s">
        <v>893</v>
      </c>
      <c r="B19" s="26" t="s">
        <v>894</v>
      </c>
      <c r="C19" s="26" t="s">
        <v>896</v>
      </c>
      <c r="D19" s="26" t="s">
        <v>248</v>
      </c>
      <c r="E19" s="26" t="s">
        <v>1127</v>
      </c>
      <c r="F19" s="26" t="s">
        <v>895</v>
      </c>
      <c r="G19" s="26" t="s">
        <v>893</v>
      </c>
      <c r="H19" s="26" t="s">
        <v>895</v>
      </c>
      <c r="I19" s="26" t="s">
        <v>1124</v>
      </c>
      <c r="J19" s="26">
        <v>32000.0</v>
      </c>
      <c r="K19" s="26">
        <v>0.0</v>
      </c>
      <c r="L19" s="26">
        <v>32000.0</v>
      </c>
      <c r="M19" s="26">
        <v>6.5</v>
      </c>
      <c r="AF19" s="26">
        <v>4.0</v>
      </c>
      <c r="AG19" s="26">
        <v>0.3</v>
      </c>
      <c r="AH19" s="26">
        <v>0.7</v>
      </c>
      <c r="AI19" s="26">
        <v>6.5</v>
      </c>
      <c r="AJ19" s="26">
        <v>0.4</v>
      </c>
      <c r="AK19" s="26">
        <v>1.4</v>
      </c>
    </row>
    <row r="20" ht="14.25" customHeight="1">
      <c r="A20" s="26" t="s">
        <v>893</v>
      </c>
      <c r="B20" s="26" t="s">
        <v>894</v>
      </c>
      <c r="C20" s="26" t="s">
        <v>896</v>
      </c>
      <c r="D20" s="26" t="s">
        <v>248</v>
      </c>
      <c r="E20" s="26" t="s">
        <v>1128</v>
      </c>
      <c r="F20" s="26" t="s">
        <v>895</v>
      </c>
      <c r="G20" s="26" t="s">
        <v>893</v>
      </c>
      <c r="H20" s="26" t="s">
        <v>895</v>
      </c>
      <c r="I20" s="26" t="s">
        <v>1124</v>
      </c>
      <c r="J20" s="26">
        <v>32000.0</v>
      </c>
      <c r="K20" s="26">
        <v>0.0</v>
      </c>
      <c r="L20" s="26">
        <v>32000.0</v>
      </c>
      <c r="M20" s="26">
        <v>6.5</v>
      </c>
      <c r="AF20" s="26">
        <v>4.0</v>
      </c>
      <c r="AG20" s="26">
        <v>0.3</v>
      </c>
      <c r="AH20" s="26">
        <v>0.7</v>
      </c>
      <c r="AI20" s="26">
        <v>6.5</v>
      </c>
      <c r="AJ20" s="26">
        <v>0.4</v>
      </c>
      <c r="AK20" s="26">
        <v>1.4</v>
      </c>
    </row>
    <row r="21" ht="14.25" customHeight="1">
      <c r="A21" s="26" t="s">
        <v>893</v>
      </c>
      <c r="B21" s="26" t="s">
        <v>894</v>
      </c>
      <c r="C21" s="26" t="s">
        <v>896</v>
      </c>
      <c r="D21" s="26" t="s">
        <v>248</v>
      </c>
      <c r="E21" s="26" t="s">
        <v>1129</v>
      </c>
      <c r="F21" s="26" t="s">
        <v>895</v>
      </c>
      <c r="G21" s="26" t="s">
        <v>893</v>
      </c>
      <c r="H21" s="26" t="s">
        <v>895</v>
      </c>
      <c r="I21" s="26" t="s">
        <v>1124</v>
      </c>
      <c r="J21" s="26">
        <v>32000.0</v>
      </c>
      <c r="K21" s="26">
        <v>0.0</v>
      </c>
      <c r="L21" s="26">
        <v>32000.0</v>
      </c>
      <c r="M21" s="26">
        <v>6.5</v>
      </c>
      <c r="AF21" s="26">
        <v>4.0</v>
      </c>
      <c r="AG21" s="26">
        <v>0.3</v>
      </c>
      <c r="AH21" s="26">
        <v>0.7</v>
      </c>
      <c r="AI21" s="26">
        <v>6.5</v>
      </c>
      <c r="AJ21" s="26">
        <v>0.4</v>
      </c>
      <c r="AK21" s="26">
        <v>1.4</v>
      </c>
    </row>
    <row r="22" ht="14.25" customHeight="1">
      <c r="A22" s="26" t="s">
        <v>893</v>
      </c>
      <c r="B22" s="26" t="s">
        <v>894</v>
      </c>
      <c r="C22" s="26" t="s">
        <v>896</v>
      </c>
      <c r="D22" s="26" t="s">
        <v>248</v>
      </c>
      <c r="E22" s="26" t="s">
        <v>1130</v>
      </c>
      <c r="F22" s="26" t="s">
        <v>895</v>
      </c>
      <c r="G22" s="26" t="s">
        <v>893</v>
      </c>
      <c r="H22" s="26" t="s">
        <v>895</v>
      </c>
      <c r="I22" s="26" t="s">
        <v>1124</v>
      </c>
      <c r="J22" s="26">
        <v>32000.0</v>
      </c>
      <c r="K22" s="26">
        <v>0.0</v>
      </c>
      <c r="L22" s="26">
        <v>32000.0</v>
      </c>
      <c r="M22" s="26">
        <v>6.5</v>
      </c>
      <c r="AF22" s="26">
        <v>4.0</v>
      </c>
      <c r="AG22" s="26">
        <v>0.3</v>
      </c>
      <c r="AH22" s="26">
        <v>0.7</v>
      </c>
      <c r="AI22" s="26">
        <v>6.5</v>
      </c>
      <c r="AJ22" s="26">
        <v>0.4</v>
      </c>
      <c r="AK22" s="26">
        <v>1.4</v>
      </c>
    </row>
    <row r="23" ht="14.25" customHeight="1">
      <c r="A23" s="26" t="s">
        <v>893</v>
      </c>
      <c r="B23" s="26" t="s">
        <v>894</v>
      </c>
      <c r="C23" s="26" t="s">
        <v>896</v>
      </c>
      <c r="D23" s="26" t="s">
        <v>248</v>
      </c>
      <c r="E23" s="26" t="s">
        <v>1131</v>
      </c>
      <c r="F23" s="26" t="s">
        <v>895</v>
      </c>
      <c r="G23" s="26" t="s">
        <v>893</v>
      </c>
      <c r="H23" s="26" t="s">
        <v>895</v>
      </c>
      <c r="I23" s="26" t="s">
        <v>1124</v>
      </c>
      <c r="J23" s="26">
        <v>32000.0</v>
      </c>
      <c r="K23" s="26">
        <v>0.0</v>
      </c>
      <c r="L23" s="26">
        <v>32000.0</v>
      </c>
      <c r="M23" s="26">
        <v>6.3</v>
      </c>
      <c r="AF23" s="26">
        <v>4.0</v>
      </c>
      <c r="AG23" s="26">
        <v>0.3</v>
      </c>
      <c r="AH23" s="26">
        <v>0.7</v>
      </c>
      <c r="AI23" s="26">
        <v>6.3</v>
      </c>
      <c r="AJ23" s="26">
        <v>0.4</v>
      </c>
      <c r="AK23" s="26">
        <v>1.4</v>
      </c>
    </row>
    <row r="24" ht="14.25" customHeight="1">
      <c r="A24" s="26" t="s">
        <v>893</v>
      </c>
      <c r="B24" s="26" t="s">
        <v>894</v>
      </c>
      <c r="C24" s="26" t="s">
        <v>896</v>
      </c>
      <c r="D24" s="26" t="s">
        <v>248</v>
      </c>
      <c r="E24" s="26" t="s">
        <v>1132</v>
      </c>
      <c r="F24" s="26" t="s">
        <v>895</v>
      </c>
      <c r="G24" s="26" t="s">
        <v>893</v>
      </c>
      <c r="H24" s="26" t="s">
        <v>895</v>
      </c>
      <c r="I24" s="26" t="s">
        <v>1124</v>
      </c>
      <c r="J24" s="26">
        <v>32000.0</v>
      </c>
      <c r="K24" s="26">
        <v>0.0</v>
      </c>
      <c r="L24" s="26">
        <v>32000.0</v>
      </c>
      <c r="M24" s="26">
        <v>6.3</v>
      </c>
      <c r="AF24" s="26">
        <v>4.0</v>
      </c>
      <c r="AG24" s="26">
        <v>0.3</v>
      </c>
      <c r="AH24" s="26">
        <v>0.7</v>
      </c>
      <c r="AI24" s="26">
        <v>6.3</v>
      </c>
      <c r="AJ24" s="26">
        <v>0.4</v>
      </c>
      <c r="AK24" s="26">
        <v>1.4</v>
      </c>
    </row>
    <row r="25" ht="14.25" customHeight="1">
      <c r="A25" s="26" t="s">
        <v>893</v>
      </c>
      <c r="B25" s="26" t="s">
        <v>894</v>
      </c>
      <c r="C25" s="26" t="s">
        <v>896</v>
      </c>
      <c r="D25" s="26" t="s">
        <v>248</v>
      </c>
      <c r="E25" s="26" t="s">
        <v>1133</v>
      </c>
      <c r="F25" s="26" t="s">
        <v>895</v>
      </c>
      <c r="G25" s="26" t="s">
        <v>893</v>
      </c>
      <c r="H25" s="26" t="s">
        <v>895</v>
      </c>
      <c r="I25" s="26" t="s">
        <v>1124</v>
      </c>
      <c r="J25" s="26">
        <v>32000.0</v>
      </c>
      <c r="K25" s="26">
        <v>0.0</v>
      </c>
      <c r="L25" s="26">
        <v>32000.0</v>
      </c>
      <c r="M25" s="26">
        <v>6.3</v>
      </c>
      <c r="AF25" s="26">
        <v>4.0</v>
      </c>
      <c r="AG25" s="26">
        <v>0.3</v>
      </c>
      <c r="AH25" s="26">
        <v>0.7</v>
      </c>
      <c r="AI25" s="26">
        <v>6.3</v>
      </c>
      <c r="AJ25" s="26">
        <v>0.4</v>
      </c>
      <c r="AK25" s="26">
        <v>1.4</v>
      </c>
    </row>
    <row r="26" ht="14.25" customHeight="1">
      <c r="A26" s="26" t="s">
        <v>893</v>
      </c>
      <c r="B26" s="26" t="s">
        <v>894</v>
      </c>
      <c r="C26" s="26" t="s">
        <v>896</v>
      </c>
      <c r="D26" s="26" t="s">
        <v>248</v>
      </c>
      <c r="E26" s="26" t="s">
        <v>1134</v>
      </c>
      <c r="F26" s="26" t="s">
        <v>895</v>
      </c>
      <c r="G26" s="26" t="s">
        <v>893</v>
      </c>
      <c r="H26" s="26" t="s">
        <v>895</v>
      </c>
      <c r="I26" s="26" t="s">
        <v>1135</v>
      </c>
      <c r="J26" s="26">
        <v>-1.0</v>
      </c>
      <c r="K26" s="26">
        <v>0.0</v>
      </c>
      <c r="L26" s="26">
        <v>-1.0</v>
      </c>
      <c r="M26" s="26">
        <v>8.5</v>
      </c>
      <c r="N26" s="26">
        <v>32000.0</v>
      </c>
      <c r="O26" s="26">
        <v>11.0</v>
      </c>
      <c r="AF26" s="26">
        <v>11.0</v>
      </c>
      <c r="AG26" s="26">
        <v>0.6</v>
      </c>
      <c r="AH26" s="26">
        <v>0.5</v>
      </c>
    </row>
    <row r="27" ht="14.25" customHeight="1">
      <c r="A27" s="26" t="s">
        <v>893</v>
      </c>
      <c r="B27" s="26" t="s">
        <v>894</v>
      </c>
      <c r="C27" s="26" t="s">
        <v>896</v>
      </c>
      <c r="D27" s="26" t="s">
        <v>248</v>
      </c>
      <c r="E27" s="26" t="s">
        <v>1136</v>
      </c>
      <c r="F27" s="26" t="s">
        <v>895</v>
      </c>
      <c r="G27" s="26" t="s">
        <v>893</v>
      </c>
      <c r="H27" s="26" t="s">
        <v>895</v>
      </c>
      <c r="I27" s="26" t="s">
        <v>1135</v>
      </c>
      <c r="J27" s="26">
        <v>-1.0</v>
      </c>
      <c r="K27" s="26">
        <v>0.0</v>
      </c>
      <c r="L27" s="26">
        <v>-1.0</v>
      </c>
      <c r="M27" s="26">
        <v>3.0</v>
      </c>
      <c r="AF27" s="26">
        <v>11.5</v>
      </c>
      <c r="AG27" s="26">
        <v>0.1</v>
      </c>
      <c r="AH27" s="26">
        <v>3.0</v>
      </c>
    </row>
    <row r="28" ht="14.25" customHeight="1">
      <c r="A28" s="26" t="s">
        <v>893</v>
      </c>
      <c r="B28" s="26" t="s">
        <v>894</v>
      </c>
      <c r="C28" s="26" t="s">
        <v>896</v>
      </c>
      <c r="D28" s="26" t="s">
        <v>248</v>
      </c>
      <c r="E28" s="26" t="s">
        <v>1137</v>
      </c>
      <c r="F28" s="26" t="s">
        <v>895</v>
      </c>
      <c r="G28" s="26" t="s">
        <v>893</v>
      </c>
      <c r="H28" s="26" t="s">
        <v>895</v>
      </c>
      <c r="I28" s="26" t="s">
        <v>1135</v>
      </c>
      <c r="J28" s="26">
        <v>32000.0</v>
      </c>
      <c r="K28" s="26">
        <v>0.0</v>
      </c>
      <c r="L28" s="26">
        <v>32000.0</v>
      </c>
      <c r="M28" s="26">
        <v>11.5</v>
      </c>
      <c r="AF28" s="26">
        <v>11.5</v>
      </c>
      <c r="AG28" s="26">
        <v>0.1</v>
      </c>
      <c r="AH28" s="26">
        <v>3.0</v>
      </c>
    </row>
    <row r="29" ht="14.25" customHeight="1">
      <c r="A29" s="26" t="s">
        <v>893</v>
      </c>
      <c r="B29" s="26" t="s">
        <v>894</v>
      </c>
      <c r="C29" s="26" t="s">
        <v>896</v>
      </c>
      <c r="D29" s="26" t="s">
        <v>248</v>
      </c>
      <c r="E29" s="26" t="s">
        <v>1138</v>
      </c>
      <c r="F29" s="26" t="s">
        <v>895</v>
      </c>
      <c r="G29" s="26" t="s">
        <v>893</v>
      </c>
      <c r="H29" s="26" t="s">
        <v>895</v>
      </c>
      <c r="I29" s="26" t="s">
        <v>561</v>
      </c>
      <c r="J29" s="26">
        <v>-10000.0</v>
      </c>
      <c r="K29" s="26">
        <v>0.0</v>
      </c>
      <c r="L29" s="26">
        <v>-10000.0</v>
      </c>
      <c r="M29" s="26">
        <v>103.0</v>
      </c>
      <c r="AF29" s="26">
        <v>75.0</v>
      </c>
      <c r="AG29" s="26">
        <v>0.4</v>
      </c>
      <c r="AH29" s="26">
        <v>0.1</v>
      </c>
      <c r="AI29" s="26">
        <v>103.0</v>
      </c>
      <c r="AJ29" s="26">
        <v>0.4</v>
      </c>
      <c r="AK29" s="26">
        <v>0.4</v>
      </c>
    </row>
    <row r="30" ht="14.25" customHeight="1">
      <c r="A30" s="26" t="s">
        <v>893</v>
      </c>
      <c r="B30" s="26" t="s">
        <v>894</v>
      </c>
      <c r="C30" s="26" t="s">
        <v>896</v>
      </c>
      <c r="D30" s="26" t="s">
        <v>248</v>
      </c>
      <c r="E30" s="26" t="s">
        <v>1139</v>
      </c>
      <c r="F30" s="26" t="s">
        <v>895</v>
      </c>
      <c r="G30" s="26" t="s">
        <v>893</v>
      </c>
      <c r="H30" s="26" t="s">
        <v>895</v>
      </c>
      <c r="I30" s="26" t="s">
        <v>561</v>
      </c>
      <c r="J30" s="26">
        <v>-10000.0</v>
      </c>
      <c r="K30" s="26">
        <v>0.0</v>
      </c>
      <c r="L30" s="26">
        <v>-10000.0</v>
      </c>
      <c r="M30" s="26">
        <v>103.0</v>
      </c>
      <c r="AF30" s="26">
        <v>75.0</v>
      </c>
      <c r="AG30" s="26">
        <v>0.4</v>
      </c>
      <c r="AH30" s="26">
        <v>0.1</v>
      </c>
      <c r="AI30" s="26">
        <v>103.0</v>
      </c>
      <c r="AJ30" s="26">
        <v>0.4</v>
      </c>
      <c r="AK30" s="26">
        <v>0.4</v>
      </c>
    </row>
    <row r="31" ht="14.25" customHeight="1">
      <c r="A31" s="26" t="s">
        <v>893</v>
      </c>
      <c r="B31" s="26" t="s">
        <v>894</v>
      </c>
      <c r="C31" s="26" t="s">
        <v>896</v>
      </c>
      <c r="D31" s="26" t="s">
        <v>248</v>
      </c>
      <c r="E31" s="26" t="s">
        <v>1140</v>
      </c>
      <c r="F31" s="26" t="s">
        <v>895</v>
      </c>
      <c r="G31" s="26" t="s">
        <v>893</v>
      </c>
      <c r="H31" s="26" t="s">
        <v>895</v>
      </c>
      <c r="I31" s="26" t="s">
        <v>1141</v>
      </c>
      <c r="J31" s="26">
        <v>-10000.0</v>
      </c>
      <c r="K31" s="26">
        <v>0.0</v>
      </c>
      <c r="L31" s="26">
        <v>-10000.0</v>
      </c>
      <c r="M31" s="26">
        <v>70.0</v>
      </c>
      <c r="N31" s="26">
        <v>-1.0</v>
      </c>
      <c r="O31" s="26">
        <v>153.0</v>
      </c>
      <c r="P31" s="26">
        <v>22000.0</v>
      </c>
      <c r="Q31" s="26">
        <v>169.0</v>
      </c>
      <c r="AF31" s="26">
        <v>169.0</v>
      </c>
      <c r="AG31" s="26">
        <v>1.2</v>
      </c>
      <c r="AH31" s="26">
        <v>1.2</v>
      </c>
    </row>
    <row r="32" ht="14.25" customHeight="1">
      <c r="A32" s="26" t="s">
        <v>893</v>
      </c>
      <c r="B32" s="26" t="s">
        <v>894</v>
      </c>
      <c r="C32" s="26" t="s">
        <v>896</v>
      </c>
      <c r="D32" s="26" t="s">
        <v>248</v>
      </c>
      <c r="E32" s="26" t="s">
        <v>1142</v>
      </c>
      <c r="F32" s="26" t="s">
        <v>895</v>
      </c>
      <c r="G32" s="26" t="s">
        <v>893</v>
      </c>
      <c r="H32" s="26" t="s">
        <v>895</v>
      </c>
      <c r="I32" s="26" t="s">
        <v>1141</v>
      </c>
      <c r="J32" s="26">
        <v>-10000.0</v>
      </c>
      <c r="K32" s="26">
        <v>0.0</v>
      </c>
      <c r="L32" s="26">
        <v>-10000.0</v>
      </c>
      <c r="M32" s="26">
        <v>70.0</v>
      </c>
      <c r="N32" s="26">
        <v>-1.0</v>
      </c>
      <c r="O32" s="26">
        <v>152.0</v>
      </c>
      <c r="P32" s="26">
        <v>22000.0</v>
      </c>
      <c r="Q32" s="26">
        <v>169.0</v>
      </c>
      <c r="AF32" s="26">
        <v>169.0</v>
      </c>
      <c r="AG32" s="26">
        <v>1.2</v>
      </c>
      <c r="AH32" s="26">
        <v>1.2</v>
      </c>
    </row>
    <row r="33" ht="14.25" customHeight="1">
      <c r="A33" s="26" t="s">
        <v>893</v>
      </c>
      <c r="B33" s="26" t="s">
        <v>894</v>
      </c>
      <c r="C33" s="26" t="s">
        <v>896</v>
      </c>
      <c r="D33" s="26" t="s">
        <v>248</v>
      </c>
      <c r="E33" s="26" t="s">
        <v>1143</v>
      </c>
      <c r="F33" s="26" t="s">
        <v>895</v>
      </c>
      <c r="G33" s="26" t="s">
        <v>893</v>
      </c>
      <c r="H33" s="26" t="s">
        <v>895</v>
      </c>
      <c r="I33" s="26" t="s">
        <v>1113</v>
      </c>
      <c r="J33" s="26">
        <v>32000.0</v>
      </c>
      <c r="K33" s="26">
        <v>0.0</v>
      </c>
      <c r="L33" s="26">
        <v>32000.0</v>
      </c>
      <c r="M33" s="26">
        <v>19.3</v>
      </c>
      <c r="AF33" s="26">
        <v>20.0</v>
      </c>
      <c r="AG33" s="26">
        <v>2642.4</v>
      </c>
      <c r="AH33" s="26">
        <v>2642.4</v>
      </c>
    </row>
    <row r="34" ht="14.25" customHeight="1">
      <c r="A34" s="26" t="s">
        <v>893</v>
      </c>
      <c r="B34" s="26" t="s">
        <v>894</v>
      </c>
      <c r="C34" s="26" t="s">
        <v>896</v>
      </c>
      <c r="D34" s="26" t="s">
        <v>248</v>
      </c>
      <c r="E34" s="26" t="s">
        <v>1144</v>
      </c>
      <c r="F34" s="26" t="s">
        <v>895</v>
      </c>
      <c r="G34" s="26" t="s">
        <v>893</v>
      </c>
      <c r="H34" s="26" t="s">
        <v>895</v>
      </c>
      <c r="I34" s="26" t="s">
        <v>1117</v>
      </c>
      <c r="J34" s="26">
        <v>-10000.0</v>
      </c>
      <c r="K34" s="26">
        <v>0.0</v>
      </c>
      <c r="L34" s="26">
        <v>-10000.0</v>
      </c>
      <c r="M34" s="26">
        <v>77.0</v>
      </c>
      <c r="N34" s="26">
        <v>3360.0</v>
      </c>
      <c r="O34" s="26">
        <v>83.6</v>
      </c>
      <c r="AF34" s="26">
        <v>45.3</v>
      </c>
      <c r="AG34" s="26">
        <v>1.0</v>
      </c>
      <c r="AH34" s="26">
        <v>1.0</v>
      </c>
      <c r="AI34" s="26">
        <v>83.6</v>
      </c>
      <c r="AJ34" s="26">
        <v>1.0</v>
      </c>
      <c r="AK34" s="26">
        <v>1.0</v>
      </c>
    </row>
    <row r="35" ht="14.25" customHeight="1">
      <c r="A35" s="26" t="s">
        <v>893</v>
      </c>
      <c r="B35" s="26" t="s">
        <v>894</v>
      </c>
      <c r="C35" s="26" t="s">
        <v>896</v>
      </c>
      <c r="D35" s="26" t="s">
        <v>102</v>
      </c>
      <c r="E35" s="26" t="s">
        <v>1145</v>
      </c>
      <c r="F35" s="26" t="s">
        <v>895</v>
      </c>
      <c r="G35" s="26" t="s">
        <v>893</v>
      </c>
      <c r="H35" s="26" t="s">
        <v>895</v>
      </c>
      <c r="I35" s="26" t="s">
        <v>1146</v>
      </c>
      <c r="J35" s="26">
        <v>32000.0</v>
      </c>
      <c r="K35" s="26">
        <v>0.0</v>
      </c>
      <c r="L35" s="26">
        <v>32000.0</v>
      </c>
      <c r="M35" s="26">
        <v>4.4</v>
      </c>
      <c r="AF35" s="26">
        <v>4.4</v>
      </c>
      <c r="AG35" s="26">
        <v>0.1</v>
      </c>
      <c r="AH35" s="26">
        <v>0.2</v>
      </c>
    </row>
    <row r="36" ht="14.25" customHeight="1">
      <c r="A36" s="26" t="s">
        <v>893</v>
      </c>
      <c r="B36" s="26" t="s">
        <v>894</v>
      </c>
      <c r="C36" s="26" t="s">
        <v>896</v>
      </c>
      <c r="D36" s="26" t="s">
        <v>102</v>
      </c>
      <c r="E36" s="26" t="s">
        <v>1147</v>
      </c>
      <c r="F36" s="26" t="s">
        <v>895</v>
      </c>
      <c r="G36" s="26" t="s">
        <v>893</v>
      </c>
      <c r="H36" s="26" t="s">
        <v>895</v>
      </c>
      <c r="I36" s="26" t="s">
        <v>1146</v>
      </c>
      <c r="J36" s="26">
        <v>32000.0</v>
      </c>
      <c r="K36" s="26">
        <v>0.0</v>
      </c>
      <c r="L36" s="26">
        <v>32000.0</v>
      </c>
      <c r="M36" s="26">
        <v>4.4</v>
      </c>
      <c r="AF36" s="26">
        <v>4.4</v>
      </c>
      <c r="AG36" s="26">
        <v>0.1</v>
      </c>
      <c r="AH36" s="26">
        <v>0.2</v>
      </c>
    </row>
    <row r="37" ht="14.25" customHeight="1">
      <c r="A37" s="26" t="s">
        <v>893</v>
      </c>
      <c r="B37" s="26" t="s">
        <v>894</v>
      </c>
      <c r="C37" s="26" t="s">
        <v>896</v>
      </c>
      <c r="D37" s="26" t="s">
        <v>102</v>
      </c>
      <c r="E37" s="26" t="s">
        <v>1148</v>
      </c>
      <c r="F37" s="26" t="s">
        <v>895</v>
      </c>
      <c r="G37" s="26" t="s">
        <v>893</v>
      </c>
      <c r="H37" s="26" t="s">
        <v>895</v>
      </c>
      <c r="I37" s="26" t="s">
        <v>1146</v>
      </c>
      <c r="J37" s="26">
        <v>32000.0</v>
      </c>
      <c r="K37" s="26">
        <v>0.0</v>
      </c>
      <c r="L37" s="26">
        <v>32000.0</v>
      </c>
      <c r="M37" s="26">
        <v>4.4</v>
      </c>
      <c r="AF37" s="26">
        <v>4.4</v>
      </c>
      <c r="AG37" s="26">
        <v>0.1</v>
      </c>
      <c r="AH37" s="26">
        <v>0.2</v>
      </c>
    </row>
    <row r="38" ht="14.25" customHeight="1">
      <c r="A38" s="26" t="s">
        <v>893</v>
      </c>
      <c r="B38" s="26" t="s">
        <v>894</v>
      </c>
      <c r="C38" s="26" t="s">
        <v>896</v>
      </c>
      <c r="D38" s="26" t="s">
        <v>102</v>
      </c>
      <c r="E38" s="26" t="s">
        <v>1149</v>
      </c>
      <c r="F38" s="26" t="s">
        <v>895</v>
      </c>
      <c r="G38" s="26" t="s">
        <v>893</v>
      </c>
      <c r="H38" s="26" t="s">
        <v>895</v>
      </c>
      <c r="I38" s="26" t="s">
        <v>1146</v>
      </c>
      <c r="J38" s="26">
        <v>32000.0</v>
      </c>
      <c r="K38" s="26">
        <v>0.0</v>
      </c>
      <c r="L38" s="26">
        <v>32000.0</v>
      </c>
      <c r="M38" s="26">
        <v>6.5</v>
      </c>
      <c r="AF38" s="26">
        <v>6.5</v>
      </c>
      <c r="AG38" s="26">
        <v>0.1</v>
      </c>
      <c r="AH38" s="26">
        <v>0.4</v>
      </c>
    </row>
    <row r="39" ht="14.25" customHeight="1">
      <c r="A39" s="26" t="s">
        <v>893</v>
      </c>
      <c r="B39" s="26" t="s">
        <v>894</v>
      </c>
      <c r="C39" s="26" t="s">
        <v>896</v>
      </c>
      <c r="D39" s="26" t="s">
        <v>102</v>
      </c>
      <c r="E39" s="26" t="s">
        <v>1150</v>
      </c>
      <c r="F39" s="26" t="s">
        <v>895</v>
      </c>
      <c r="G39" s="26" t="s">
        <v>893</v>
      </c>
      <c r="H39" s="26" t="s">
        <v>895</v>
      </c>
      <c r="I39" s="26" t="s">
        <v>1146</v>
      </c>
      <c r="J39" s="26">
        <v>32000.0</v>
      </c>
      <c r="K39" s="26">
        <v>0.0</v>
      </c>
      <c r="L39" s="26">
        <v>32000.0</v>
      </c>
      <c r="M39" s="26">
        <v>6.5</v>
      </c>
      <c r="AF39" s="26">
        <v>6.5</v>
      </c>
      <c r="AG39" s="26">
        <v>0.1</v>
      </c>
      <c r="AH39" s="26">
        <v>0.4</v>
      </c>
    </row>
    <row r="40" ht="14.25" customHeight="1">
      <c r="A40" s="26" t="s">
        <v>893</v>
      </c>
      <c r="B40" s="26" t="s">
        <v>894</v>
      </c>
      <c r="C40" s="26" t="s">
        <v>896</v>
      </c>
      <c r="D40" s="26" t="s">
        <v>102</v>
      </c>
      <c r="E40" s="26" t="s">
        <v>1151</v>
      </c>
      <c r="F40" s="26" t="s">
        <v>895</v>
      </c>
      <c r="G40" s="26" t="s">
        <v>893</v>
      </c>
      <c r="H40" s="26" t="s">
        <v>895</v>
      </c>
      <c r="I40" s="26" t="s">
        <v>1152</v>
      </c>
      <c r="J40" s="26">
        <v>-10000.0</v>
      </c>
      <c r="K40" s="26">
        <v>-30.0</v>
      </c>
      <c r="L40" s="26">
        <v>-10000.0</v>
      </c>
      <c r="M40" s="26">
        <v>0.0</v>
      </c>
      <c r="N40" s="26">
        <v>32000.0</v>
      </c>
      <c r="O40" s="26">
        <v>30.0</v>
      </c>
      <c r="AF40" s="26">
        <v>30.0</v>
      </c>
      <c r="AG40" s="26">
        <v>150.0</v>
      </c>
      <c r="AH40" s="26">
        <v>150.0</v>
      </c>
    </row>
    <row r="41" ht="14.25" customHeight="1">
      <c r="A41" s="26" t="s">
        <v>893</v>
      </c>
      <c r="B41" s="26" t="s">
        <v>894</v>
      </c>
      <c r="C41" s="26" t="s">
        <v>896</v>
      </c>
      <c r="D41" s="26" t="s">
        <v>102</v>
      </c>
      <c r="E41" s="26" t="s">
        <v>1153</v>
      </c>
      <c r="F41" s="26" t="s">
        <v>895</v>
      </c>
      <c r="G41" s="26" t="s">
        <v>893</v>
      </c>
      <c r="H41" s="26" t="s">
        <v>895</v>
      </c>
      <c r="I41" s="26" t="s">
        <v>1154</v>
      </c>
      <c r="J41" s="26">
        <v>-10000.0</v>
      </c>
      <c r="K41" s="26">
        <v>0.0</v>
      </c>
      <c r="L41" s="26">
        <v>-10000.0</v>
      </c>
      <c r="M41" s="26">
        <v>22.9</v>
      </c>
      <c r="N41" s="26">
        <v>0.0</v>
      </c>
      <c r="O41" s="26">
        <v>35.2</v>
      </c>
      <c r="AF41" s="26">
        <v>35.2</v>
      </c>
      <c r="AG41" s="26">
        <v>4.7</v>
      </c>
      <c r="AH41" s="26">
        <v>4.8</v>
      </c>
    </row>
    <row r="42" ht="14.25" customHeight="1">
      <c r="A42" s="26" t="s">
        <v>893</v>
      </c>
      <c r="B42" s="26" t="s">
        <v>894</v>
      </c>
      <c r="C42" s="26" t="s">
        <v>896</v>
      </c>
      <c r="D42" s="26" t="s">
        <v>102</v>
      </c>
      <c r="E42" s="26" t="s">
        <v>1155</v>
      </c>
      <c r="F42" s="26" t="s">
        <v>895</v>
      </c>
      <c r="G42" s="26" t="s">
        <v>893</v>
      </c>
      <c r="H42" s="26" t="s">
        <v>895</v>
      </c>
      <c r="I42" s="26" t="s">
        <v>1154</v>
      </c>
      <c r="J42" s="26">
        <v>-10000.0</v>
      </c>
      <c r="K42" s="26">
        <v>0.0</v>
      </c>
      <c r="L42" s="26">
        <v>-10000.0</v>
      </c>
      <c r="M42" s="26">
        <v>22.4</v>
      </c>
      <c r="N42" s="26">
        <v>0.0</v>
      </c>
      <c r="O42" s="26">
        <v>34.8</v>
      </c>
      <c r="AF42" s="26">
        <v>34.8</v>
      </c>
      <c r="AG42" s="26">
        <v>5.0</v>
      </c>
      <c r="AH42" s="26">
        <v>5.0</v>
      </c>
    </row>
    <row r="43" ht="14.25" customHeight="1">
      <c r="A43" s="26" t="s">
        <v>893</v>
      </c>
      <c r="B43" s="26" t="s">
        <v>894</v>
      </c>
      <c r="C43" s="26" t="s">
        <v>896</v>
      </c>
      <c r="D43" s="26" t="s">
        <v>102</v>
      </c>
      <c r="E43" s="26" t="s">
        <v>1156</v>
      </c>
      <c r="F43" s="26" t="s">
        <v>895</v>
      </c>
      <c r="G43" s="26" t="s">
        <v>893</v>
      </c>
      <c r="H43" s="26" t="s">
        <v>895</v>
      </c>
      <c r="I43" s="26" t="s">
        <v>1154</v>
      </c>
      <c r="J43" s="26">
        <v>-10000.0</v>
      </c>
      <c r="K43" s="26">
        <v>0.0</v>
      </c>
      <c r="L43" s="26">
        <v>-10000.0</v>
      </c>
      <c r="M43" s="26">
        <v>22.9</v>
      </c>
      <c r="N43" s="26">
        <v>0.0</v>
      </c>
      <c r="O43" s="26">
        <v>33.0</v>
      </c>
      <c r="AF43" s="26">
        <v>35.3</v>
      </c>
      <c r="AG43" s="26">
        <v>4.9</v>
      </c>
      <c r="AH43" s="26">
        <v>5.0</v>
      </c>
    </row>
    <row r="44" ht="14.25" customHeight="1">
      <c r="A44" s="26" t="s">
        <v>893</v>
      </c>
      <c r="B44" s="26" t="s">
        <v>894</v>
      </c>
      <c r="C44" s="26" t="s">
        <v>896</v>
      </c>
      <c r="D44" s="26" t="s">
        <v>102</v>
      </c>
      <c r="E44" s="26" t="s">
        <v>1157</v>
      </c>
      <c r="F44" s="26" t="s">
        <v>895</v>
      </c>
      <c r="G44" s="26" t="s">
        <v>893</v>
      </c>
      <c r="H44" s="26" t="s">
        <v>895</v>
      </c>
      <c r="I44" s="26" t="s">
        <v>1154</v>
      </c>
      <c r="J44" s="26">
        <v>-10000.0</v>
      </c>
      <c r="K44" s="26">
        <v>0.0</v>
      </c>
      <c r="L44" s="26">
        <v>-10000.0</v>
      </c>
      <c r="M44" s="26">
        <v>8.9</v>
      </c>
      <c r="N44" s="26">
        <v>0.0</v>
      </c>
      <c r="O44" s="26">
        <v>18.8</v>
      </c>
      <c r="AF44" s="26">
        <v>18.8</v>
      </c>
      <c r="AG44" s="26">
        <v>2.9</v>
      </c>
      <c r="AH44" s="26">
        <v>2.9</v>
      </c>
    </row>
    <row r="45" ht="14.25" customHeight="1">
      <c r="A45" s="26" t="s">
        <v>893</v>
      </c>
      <c r="B45" s="26" t="s">
        <v>894</v>
      </c>
      <c r="C45" s="26" t="s">
        <v>896</v>
      </c>
      <c r="D45" s="26" t="s">
        <v>102</v>
      </c>
      <c r="E45" s="26" t="s">
        <v>1158</v>
      </c>
      <c r="F45" s="26" t="s">
        <v>895</v>
      </c>
      <c r="G45" s="26" t="s">
        <v>893</v>
      </c>
      <c r="H45" s="26" t="s">
        <v>895</v>
      </c>
      <c r="I45" s="26" t="s">
        <v>1154</v>
      </c>
      <c r="J45" s="26">
        <v>-10000.0</v>
      </c>
      <c r="K45" s="26">
        <v>0.0</v>
      </c>
      <c r="L45" s="26">
        <v>-10000.0</v>
      </c>
      <c r="M45" s="26">
        <v>9.2</v>
      </c>
      <c r="N45" s="26">
        <v>0.0</v>
      </c>
      <c r="O45" s="26">
        <v>18.9</v>
      </c>
      <c r="AF45" s="26">
        <v>18.9</v>
      </c>
      <c r="AG45" s="26">
        <v>2.8</v>
      </c>
      <c r="AH45" s="26">
        <v>2.9</v>
      </c>
    </row>
    <row r="46" ht="14.25" customHeight="1">
      <c r="A46" s="26" t="s">
        <v>893</v>
      </c>
      <c r="B46" s="26" t="s">
        <v>894</v>
      </c>
      <c r="C46" s="26" t="s">
        <v>896</v>
      </c>
      <c r="D46" s="26" t="s">
        <v>102</v>
      </c>
      <c r="E46" s="26" t="s">
        <v>1159</v>
      </c>
      <c r="F46" s="26" t="s">
        <v>895</v>
      </c>
      <c r="G46" s="26" t="s">
        <v>893</v>
      </c>
      <c r="H46" s="26" t="s">
        <v>895</v>
      </c>
      <c r="I46" s="26" t="s">
        <v>1154</v>
      </c>
      <c r="J46" s="26">
        <v>-10000.0</v>
      </c>
      <c r="K46" s="26">
        <v>0.0</v>
      </c>
      <c r="L46" s="26">
        <v>-10000.0</v>
      </c>
      <c r="M46" s="26">
        <v>8.9</v>
      </c>
      <c r="N46" s="26">
        <v>0.0</v>
      </c>
      <c r="O46" s="26">
        <v>18.9</v>
      </c>
      <c r="AF46" s="26">
        <v>18.9</v>
      </c>
      <c r="AG46" s="26">
        <v>2.3</v>
      </c>
      <c r="AH46" s="26">
        <v>2.1</v>
      </c>
    </row>
    <row r="47" ht="14.25" customHeight="1">
      <c r="A47" s="26" t="s">
        <v>893</v>
      </c>
      <c r="B47" s="26" t="s">
        <v>894</v>
      </c>
      <c r="C47" s="26" t="s">
        <v>896</v>
      </c>
      <c r="D47" s="26" t="s">
        <v>102</v>
      </c>
      <c r="E47" s="26" t="s">
        <v>1160</v>
      </c>
      <c r="F47" s="26" t="s">
        <v>895</v>
      </c>
      <c r="G47" s="26" t="s">
        <v>893</v>
      </c>
      <c r="H47" s="26" t="s">
        <v>895</v>
      </c>
      <c r="I47" s="26" t="s">
        <v>1115</v>
      </c>
      <c r="J47" s="26">
        <v>-10000.0</v>
      </c>
      <c r="K47" s="26">
        <v>-10.0</v>
      </c>
      <c r="L47" s="26">
        <v>-10000.0</v>
      </c>
      <c r="M47" s="26">
        <v>0.0</v>
      </c>
      <c r="N47" s="26">
        <v>32000.0</v>
      </c>
      <c r="O47" s="26">
        <v>10.0</v>
      </c>
      <c r="AF47" s="26">
        <v>10.0</v>
      </c>
      <c r="AG47" s="26">
        <v>1238.4</v>
      </c>
      <c r="AH47" s="26">
        <v>1252.8</v>
      </c>
    </row>
    <row r="48" ht="14.25" customHeight="1">
      <c r="A48" s="26" t="s">
        <v>893</v>
      </c>
      <c r="B48" s="26" t="s">
        <v>894</v>
      </c>
      <c r="C48" s="26" t="s">
        <v>896</v>
      </c>
      <c r="D48" s="26" t="s">
        <v>315</v>
      </c>
      <c r="E48" s="26" t="s">
        <v>1161</v>
      </c>
      <c r="F48" s="26" t="s">
        <v>895</v>
      </c>
      <c r="G48" s="26" t="s">
        <v>893</v>
      </c>
      <c r="H48" s="26" t="s">
        <v>895</v>
      </c>
      <c r="I48" s="26" t="s">
        <v>1162</v>
      </c>
      <c r="J48" s="26">
        <v>30980.0</v>
      </c>
      <c r="K48" s="26">
        <v>0.0</v>
      </c>
      <c r="L48" s="26">
        <v>30980.0</v>
      </c>
      <c r="M48" s="26">
        <v>4.0</v>
      </c>
      <c r="AF48" s="26">
        <v>4.0</v>
      </c>
      <c r="AG48" s="26">
        <v>0.4</v>
      </c>
      <c r="AH48" s="26">
        <v>0.4</v>
      </c>
    </row>
    <row r="49" ht="14.25" customHeight="1">
      <c r="A49" s="26" t="s">
        <v>893</v>
      </c>
      <c r="B49" s="26" t="s">
        <v>894</v>
      </c>
      <c r="C49" s="26" t="s">
        <v>896</v>
      </c>
      <c r="D49" s="26" t="s">
        <v>315</v>
      </c>
      <c r="E49" s="26" t="s">
        <v>1163</v>
      </c>
      <c r="F49" s="26" t="s">
        <v>895</v>
      </c>
      <c r="G49" s="26" t="s">
        <v>893</v>
      </c>
      <c r="H49" s="26" t="s">
        <v>895</v>
      </c>
      <c r="I49" s="26" t="s">
        <v>1162</v>
      </c>
      <c r="J49" s="26">
        <v>30880.0</v>
      </c>
      <c r="K49" s="26">
        <v>0.0</v>
      </c>
      <c r="L49" s="26">
        <v>30880.0</v>
      </c>
      <c r="M49" s="26">
        <v>4.0</v>
      </c>
      <c r="AF49" s="26">
        <v>4.0</v>
      </c>
      <c r="AG49" s="26">
        <v>0.4</v>
      </c>
      <c r="AH49" s="26">
        <v>0.4</v>
      </c>
    </row>
    <row r="50" ht="14.25" customHeight="1">
      <c r="A50" s="26" t="s">
        <v>893</v>
      </c>
      <c r="B50" s="26" t="s">
        <v>894</v>
      </c>
      <c r="C50" s="26" t="s">
        <v>896</v>
      </c>
      <c r="D50" s="26" t="s">
        <v>315</v>
      </c>
      <c r="E50" s="26" t="s">
        <v>1164</v>
      </c>
      <c r="F50" s="26" t="s">
        <v>895</v>
      </c>
      <c r="G50" s="26" t="s">
        <v>893</v>
      </c>
      <c r="H50" s="26" t="s">
        <v>895</v>
      </c>
      <c r="I50" s="26" t="s">
        <v>1162</v>
      </c>
      <c r="J50" s="26">
        <v>30780.0</v>
      </c>
      <c r="K50" s="26">
        <v>0.0</v>
      </c>
      <c r="L50" s="26">
        <v>30780.0</v>
      </c>
      <c r="M50" s="26">
        <v>4.2</v>
      </c>
      <c r="AF50" s="26">
        <v>4.2</v>
      </c>
      <c r="AG50" s="26">
        <v>0.4</v>
      </c>
      <c r="AH50" s="26">
        <v>0.4</v>
      </c>
    </row>
    <row r="51" ht="14.25" customHeight="1">
      <c r="A51" s="26" t="s">
        <v>893</v>
      </c>
      <c r="B51" s="26" t="s">
        <v>894</v>
      </c>
      <c r="C51" s="26" t="s">
        <v>896</v>
      </c>
      <c r="D51" s="26" t="s">
        <v>315</v>
      </c>
      <c r="E51" s="26" t="s">
        <v>1165</v>
      </c>
      <c r="F51" s="26" t="s">
        <v>895</v>
      </c>
      <c r="G51" s="26" t="s">
        <v>893</v>
      </c>
      <c r="H51" s="26" t="s">
        <v>895</v>
      </c>
      <c r="I51" s="26" t="s">
        <v>1162</v>
      </c>
      <c r="J51" s="26">
        <v>30680.0</v>
      </c>
      <c r="K51" s="26">
        <v>0.0</v>
      </c>
      <c r="L51" s="26">
        <v>30680.0</v>
      </c>
      <c r="M51" s="26">
        <v>4.0</v>
      </c>
      <c r="AF51" s="26">
        <v>4.0</v>
      </c>
      <c r="AG51" s="26">
        <v>0.4</v>
      </c>
      <c r="AH51" s="26">
        <v>0.4</v>
      </c>
    </row>
    <row r="52" ht="14.25" customHeight="1">
      <c r="A52" s="26" t="s">
        <v>893</v>
      </c>
      <c r="B52" s="26" t="s">
        <v>894</v>
      </c>
      <c r="C52" s="26" t="s">
        <v>896</v>
      </c>
      <c r="D52" s="26" t="s">
        <v>315</v>
      </c>
      <c r="E52" s="26" t="s">
        <v>1166</v>
      </c>
      <c r="F52" s="26" t="s">
        <v>895</v>
      </c>
      <c r="G52" s="26" t="s">
        <v>893</v>
      </c>
      <c r="H52" s="26" t="s">
        <v>895</v>
      </c>
      <c r="I52" s="26" t="s">
        <v>1167</v>
      </c>
      <c r="J52" s="26">
        <v>32000.0</v>
      </c>
      <c r="K52" s="26">
        <v>0.0</v>
      </c>
      <c r="L52" s="26">
        <v>32000.0</v>
      </c>
      <c r="M52" s="26">
        <v>50.1</v>
      </c>
      <c r="AF52" s="26">
        <v>54.0</v>
      </c>
      <c r="AG52" s="26">
        <v>0.6</v>
      </c>
      <c r="AH52" s="26">
        <v>0.6</v>
      </c>
    </row>
    <row r="53" ht="14.25" customHeight="1">
      <c r="A53" s="26" t="s">
        <v>893</v>
      </c>
      <c r="B53" s="26" t="s">
        <v>894</v>
      </c>
      <c r="C53" s="26" t="s">
        <v>896</v>
      </c>
      <c r="D53" s="26" t="s">
        <v>315</v>
      </c>
      <c r="E53" s="26" t="s">
        <v>1168</v>
      </c>
      <c r="F53" s="26" t="s">
        <v>895</v>
      </c>
      <c r="G53" s="26" t="s">
        <v>893</v>
      </c>
      <c r="H53" s="26" t="s">
        <v>895</v>
      </c>
      <c r="I53" s="26" t="s">
        <v>1169</v>
      </c>
      <c r="J53" s="26">
        <v>30700.0</v>
      </c>
      <c r="K53" s="26">
        <v>0.0</v>
      </c>
      <c r="L53" s="26">
        <v>30700.0</v>
      </c>
      <c r="M53" s="26">
        <v>7.0</v>
      </c>
      <c r="AF53" s="26">
        <v>7.0</v>
      </c>
      <c r="AG53" s="26">
        <v>0.5</v>
      </c>
      <c r="AH53" s="26">
        <v>0.5</v>
      </c>
    </row>
    <row r="54" ht="14.25" customHeight="1">
      <c r="A54" s="26" t="s">
        <v>893</v>
      </c>
      <c r="B54" s="26" t="s">
        <v>894</v>
      </c>
      <c r="C54" s="26" t="s">
        <v>896</v>
      </c>
      <c r="D54" s="26" t="s">
        <v>315</v>
      </c>
      <c r="E54" s="26" t="s">
        <v>1170</v>
      </c>
      <c r="F54" s="26" t="s">
        <v>895</v>
      </c>
      <c r="G54" s="26" t="s">
        <v>893</v>
      </c>
      <c r="H54" s="26" t="s">
        <v>895</v>
      </c>
      <c r="I54" s="26" t="s">
        <v>1169</v>
      </c>
      <c r="J54" s="26">
        <v>30800.0</v>
      </c>
      <c r="K54" s="26">
        <v>0.0</v>
      </c>
      <c r="L54" s="26">
        <v>30800.0</v>
      </c>
      <c r="M54" s="26">
        <v>7.0</v>
      </c>
      <c r="AF54" s="26">
        <v>7.0</v>
      </c>
      <c r="AG54" s="26">
        <v>0.5</v>
      </c>
      <c r="AH54" s="26">
        <v>0.5</v>
      </c>
    </row>
    <row r="55" ht="14.25" customHeight="1">
      <c r="A55" s="26" t="s">
        <v>893</v>
      </c>
      <c r="B55" s="26" t="s">
        <v>894</v>
      </c>
      <c r="C55" s="26" t="s">
        <v>896</v>
      </c>
      <c r="D55" s="26" t="s">
        <v>315</v>
      </c>
      <c r="E55" s="26" t="s">
        <v>1171</v>
      </c>
      <c r="F55" s="26" t="s">
        <v>895</v>
      </c>
      <c r="G55" s="26" t="s">
        <v>893</v>
      </c>
      <c r="H55" s="26" t="s">
        <v>895</v>
      </c>
      <c r="I55" s="26" t="s">
        <v>1169</v>
      </c>
      <c r="J55" s="26">
        <v>30900.0</v>
      </c>
      <c r="K55" s="26">
        <v>0.0</v>
      </c>
      <c r="L55" s="26">
        <v>30900.0</v>
      </c>
      <c r="M55" s="26">
        <v>7.0</v>
      </c>
      <c r="AF55" s="26">
        <v>7.0</v>
      </c>
      <c r="AG55" s="26">
        <v>0.5</v>
      </c>
      <c r="AH55" s="26">
        <v>0.5</v>
      </c>
    </row>
    <row r="56" ht="14.25" customHeight="1">
      <c r="A56" s="26" t="s">
        <v>893</v>
      </c>
      <c r="B56" s="26" t="s">
        <v>894</v>
      </c>
      <c r="C56" s="26" t="s">
        <v>896</v>
      </c>
      <c r="D56" s="26" t="s">
        <v>315</v>
      </c>
      <c r="E56" s="26" t="s">
        <v>1172</v>
      </c>
      <c r="F56" s="26" t="s">
        <v>895</v>
      </c>
      <c r="G56" s="26" t="s">
        <v>893</v>
      </c>
      <c r="H56" s="26" t="s">
        <v>895</v>
      </c>
      <c r="I56" s="26" t="s">
        <v>1169</v>
      </c>
      <c r="J56" s="26">
        <v>31000.0</v>
      </c>
      <c r="K56" s="26">
        <v>0.0</v>
      </c>
      <c r="L56" s="26">
        <v>31000.0</v>
      </c>
      <c r="M56" s="26">
        <v>8.0</v>
      </c>
      <c r="AF56" s="26">
        <v>8.0</v>
      </c>
      <c r="AG56" s="26">
        <v>0.7</v>
      </c>
      <c r="AH56" s="26">
        <v>0.6</v>
      </c>
    </row>
    <row r="57" ht="14.25" customHeight="1">
      <c r="A57" s="26" t="s">
        <v>893</v>
      </c>
      <c r="B57" s="26" t="s">
        <v>894</v>
      </c>
      <c r="C57" s="26" t="s">
        <v>896</v>
      </c>
      <c r="D57" s="26" t="s">
        <v>315</v>
      </c>
      <c r="E57" s="26" t="s">
        <v>1173</v>
      </c>
      <c r="F57" s="26" t="s">
        <v>895</v>
      </c>
      <c r="G57" s="26" t="s">
        <v>893</v>
      </c>
      <c r="H57" s="26" t="s">
        <v>895</v>
      </c>
      <c r="I57" s="26" t="s">
        <v>1113</v>
      </c>
      <c r="J57" s="26">
        <v>32000.0</v>
      </c>
      <c r="K57" s="26">
        <v>0.0</v>
      </c>
      <c r="L57" s="26">
        <v>32000.0</v>
      </c>
      <c r="M57" s="26">
        <v>17.8</v>
      </c>
      <c r="AF57" s="26">
        <v>20.0</v>
      </c>
      <c r="AG57" s="26">
        <v>2300.4</v>
      </c>
      <c r="AH57" s="26">
        <v>2300.4</v>
      </c>
    </row>
    <row r="58" ht="14.25" customHeight="1">
      <c r="A58" s="26" t="s">
        <v>893</v>
      </c>
      <c r="B58" s="26" t="s">
        <v>894</v>
      </c>
      <c r="C58" s="26" t="s">
        <v>896</v>
      </c>
      <c r="D58" s="26" t="s">
        <v>13</v>
      </c>
      <c r="E58" s="26" t="s">
        <v>1174</v>
      </c>
      <c r="F58" s="26" t="s">
        <v>895</v>
      </c>
      <c r="G58" s="26" t="s">
        <v>893</v>
      </c>
      <c r="H58" s="26" t="s">
        <v>895</v>
      </c>
      <c r="I58" s="26" t="s">
        <v>1175</v>
      </c>
      <c r="J58" s="26">
        <v>20870.1</v>
      </c>
      <c r="K58" s="26">
        <v>0.0</v>
      </c>
      <c r="L58" s="26">
        <v>20870.1</v>
      </c>
      <c r="M58" s="26">
        <v>3.0</v>
      </c>
      <c r="AF58" s="26">
        <v>3.0</v>
      </c>
      <c r="AG58" s="26">
        <v>0.6</v>
      </c>
      <c r="AH58" s="26">
        <v>0.6</v>
      </c>
    </row>
    <row r="59" ht="14.25" customHeight="1">
      <c r="A59" s="26" t="s">
        <v>893</v>
      </c>
      <c r="B59" s="26" t="s">
        <v>894</v>
      </c>
      <c r="C59" s="26" t="s">
        <v>896</v>
      </c>
      <c r="D59" s="26" t="s">
        <v>13</v>
      </c>
      <c r="E59" s="26" t="s">
        <v>1176</v>
      </c>
      <c r="F59" s="26" t="s">
        <v>895</v>
      </c>
      <c r="G59" s="26" t="s">
        <v>893</v>
      </c>
      <c r="H59" s="26" t="s">
        <v>895</v>
      </c>
      <c r="I59" s="26" t="s">
        <v>1175</v>
      </c>
      <c r="J59" s="26">
        <v>20870.1</v>
      </c>
      <c r="K59" s="26">
        <v>0.0</v>
      </c>
      <c r="L59" s="26">
        <v>20870.1</v>
      </c>
      <c r="M59" s="26">
        <v>3.4</v>
      </c>
      <c r="AF59" s="26">
        <v>3.4</v>
      </c>
      <c r="AG59" s="26">
        <v>0.6</v>
      </c>
      <c r="AH59" s="26">
        <v>0.6</v>
      </c>
    </row>
    <row r="60" ht="14.25" customHeight="1">
      <c r="A60" s="26" t="s">
        <v>893</v>
      </c>
      <c r="B60" s="26" t="s">
        <v>894</v>
      </c>
      <c r="C60" s="26" t="s">
        <v>896</v>
      </c>
      <c r="D60" s="26" t="s">
        <v>13</v>
      </c>
      <c r="E60" s="26" t="s">
        <v>1177</v>
      </c>
      <c r="F60" s="26" t="s">
        <v>895</v>
      </c>
      <c r="G60" s="26" t="s">
        <v>893</v>
      </c>
      <c r="H60" s="26" t="s">
        <v>895</v>
      </c>
      <c r="I60" s="26" t="s">
        <v>1178</v>
      </c>
      <c r="J60" s="26">
        <v>-10000.0</v>
      </c>
      <c r="K60" s="26">
        <v>0.0</v>
      </c>
      <c r="L60" s="26">
        <v>-10000.0</v>
      </c>
      <c r="M60" s="26">
        <v>80.0</v>
      </c>
      <c r="AF60" s="26">
        <v>51.0</v>
      </c>
      <c r="AG60" s="26">
        <v>1.0</v>
      </c>
      <c r="AH60" s="26">
        <v>0.1</v>
      </c>
      <c r="AI60" s="26">
        <v>135.0</v>
      </c>
      <c r="AJ60" s="26">
        <v>0.8</v>
      </c>
      <c r="AK60" s="26">
        <v>0.8</v>
      </c>
    </row>
    <row r="61" ht="14.25" customHeight="1">
      <c r="A61" s="26" t="s">
        <v>893</v>
      </c>
      <c r="B61" s="26" t="s">
        <v>894</v>
      </c>
      <c r="C61" s="26" t="s">
        <v>896</v>
      </c>
      <c r="D61" s="26" t="s">
        <v>13</v>
      </c>
      <c r="E61" s="26" t="s">
        <v>1179</v>
      </c>
      <c r="F61" s="26" t="s">
        <v>895</v>
      </c>
      <c r="G61" s="26" t="s">
        <v>893</v>
      </c>
      <c r="H61" s="26" t="s">
        <v>895</v>
      </c>
      <c r="I61" s="26" t="s">
        <v>1162</v>
      </c>
      <c r="J61" s="26">
        <v>30998.0</v>
      </c>
      <c r="K61" s="26">
        <v>0.0</v>
      </c>
      <c r="L61" s="26">
        <v>30998.0</v>
      </c>
      <c r="M61" s="26">
        <v>5.0</v>
      </c>
      <c r="AF61" s="26">
        <v>3.0</v>
      </c>
      <c r="AG61" s="26">
        <v>0.4</v>
      </c>
      <c r="AH61" s="26">
        <v>0.4</v>
      </c>
      <c r="AI61" s="26">
        <v>5.0</v>
      </c>
      <c r="AJ61" s="26">
        <v>0.5</v>
      </c>
      <c r="AK61" s="26">
        <v>0.7</v>
      </c>
    </row>
    <row r="62" ht="14.25" customHeight="1">
      <c r="A62" s="26" t="s">
        <v>893</v>
      </c>
      <c r="B62" s="26" t="s">
        <v>894</v>
      </c>
      <c r="C62" s="26" t="s">
        <v>896</v>
      </c>
      <c r="D62" s="26" t="s">
        <v>13</v>
      </c>
      <c r="E62" s="26" t="s">
        <v>1180</v>
      </c>
      <c r="F62" s="26" t="s">
        <v>895</v>
      </c>
      <c r="G62" s="26" t="s">
        <v>893</v>
      </c>
      <c r="H62" s="26" t="s">
        <v>895</v>
      </c>
      <c r="I62" s="26" t="s">
        <v>1162</v>
      </c>
      <c r="J62" s="26">
        <v>30999.0</v>
      </c>
      <c r="K62" s="26">
        <v>0.0</v>
      </c>
      <c r="L62" s="26">
        <v>30999.0</v>
      </c>
      <c r="M62" s="26">
        <v>5.0</v>
      </c>
      <c r="AF62" s="26">
        <v>3.0</v>
      </c>
      <c r="AG62" s="26">
        <v>0.3</v>
      </c>
      <c r="AH62" s="26">
        <v>0.4</v>
      </c>
      <c r="AI62" s="26">
        <v>5.0</v>
      </c>
      <c r="AJ62" s="26">
        <v>0.5</v>
      </c>
      <c r="AK62" s="26">
        <v>1.2</v>
      </c>
    </row>
    <row r="63" ht="14.25" customHeight="1">
      <c r="A63" s="26" t="s">
        <v>893</v>
      </c>
      <c r="B63" s="26" t="s">
        <v>894</v>
      </c>
      <c r="C63" s="26" t="s">
        <v>896</v>
      </c>
      <c r="D63" s="26" t="s">
        <v>13</v>
      </c>
      <c r="E63" s="26" t="s">
        <v>1181</v>
      </c>
      <c r="F63" s="26" t="s">
        <v>895</v>
      </c>
      <c r="G63" s="26" t="s">
        <v>893</v>
      </c>
      <c r="H63" s="26" t="s">
        <v>895</v>
      </c>
      <c r="I63" s="26" t="s">
        <v>1162</v>
      </c>
      <c r="J63" s="26">
        <v>31997.0</v>
      </c>
      <c r="K63" s="26">
        <v>0.0</v>
      </c>
      <c r="L63" s="26">
        <v>31997.0</v>
      </c>
      <c r="M63" s="26">
        <v>12.0</v>
      </c>
      <c r="AF63" s="26">
        <v>5.3</v>
      </c>
      <c r="AG63" s="26">
        <v>0.4</v>
      </c>
      <c r="AH63" s="26">
        <v>0.4</v>
      </c>
      <c r="AI63" s="26">
        <v>12.0</v>
      </c>
      <c r="AJ63" s="26">
        <v>1.3</v>
      </c>
      <c r="AK63" s="26">
        <v>1.3</v>
      </c>
    </row>
    <row r="64" ht="14.25" customHeight="1">
      <c r="A64" s="26" t="s">
        <v>893</v>
      </c>
      <c r="B64" s="26" t="s">
        <v>894</v>
      </c>
      <c r="C64" s="26" t="s">
        <v>896</v>
      </c>
      <c r="D64" s="26" t="s">
        <v>13</v>
      </c>
      <c r="E64" s="26" t="s">
        <v>1182</v>
      </c>
      <c r="F64" s="26" t="s">
        <v>895</v>
      </c>
      <c r="G64" s="26" t="s">
        <v>893</v>
      </c>
      <c r="H64" s="26" t="s">
        <v>895</v>
      </c>
      <c r="I64" s="26" t="s">
        <v>1162</v>
      </c>
      <c r="J64" s="26">
        <v>29979.0</v>
      </c>
      <c r="K64" s="26">
        <v>0.0</v>
      </c>
      <c r="L64" s="26">
        <v>29979.0</v>
      </c>
      <c r="M64" s="26">
        <v>12.0</v>
      </c>
      <c r="AF64" s="26">
        <v>5.2</v>
      </c>
      <c r="AG64" s="26">
        <v>0.4</v>
      </c>
      <c r="AH64" s="26">
        <v>0.4</v>
      </c>
      <c r="AI64" s="26">
        <v>12.0</v>
      </c>
      <c r="AJ64" s="26">
        <v>1.1</v>
      </c>
      <c r="AK64" s="26">
        <v>1.3</v>
      </c>
    </row>
    <row r="65" ht="14.25" customHeight="1">
      <c r="A65" s="26" t="s">
        <v>893</v>
      </c>
      <c r="B65" s="26" t="s">
        <v>894</v>
      </c>
      <c r="C65" s="26" t="s">
        <v>896</v>
      </c>
      <c r="D65" s="26" t="s">
        <v>13</v>
      </c>
      <c r="E65" s="26" t="s">
        <v>1183</v>
      </c>
      <c r="F65" s="26" t="s">
        <v>895</v>
      </c>
      <c r="G65" s="26" t="s">
        <v>893</v>
      </c>
      <c r="H65" s="26" t="s">
        <v>895</v>
      </c>
      <c r="I65" s="26" t="s">
        <v>1162</v>
      </c>
      <c r="J65" s="26">
        <v>30089.0</v>
      </c>
      <c r="K65" s="26">
        <v>0.0</v>
      </c>
      <c r="L65" s="26">
        <v>30089.0</v>
      </c>
      <c r="M65" s="26">
        <v>13.0</v>
      </c>
      <c r="AF65" s="26">
        <v>5.3</v>
      </c>
      <c r="AG65" s="26">
        <v>0.4</v>
      </c>
      <c r="AH65" s="26">
        <v>0.4</v>
      </c>
      <c r="AI65" s="26">
        <v>13.0</v>
      </c>
      <c r="AJ65" s="26">
        <v>1.1</v>
      </c>
      <c r="AK65" s="26">
        <v>1.5</v>
      </c>
    </row>
    <row r="66" ht="14.25" customHeight="1">
      <c r="A66" s="26" t="s">
        <v>893</v>
      </c>
      <c r="B66" s="26" t="s">
        <v>894</v>
      </c>
      <c r="C66" s="26" t="s">
        <v>896</v>
      </c>
      <c r="D66" s="26" t="s">
        <v>13</v>
      </c>
      <c r="E66" s="26" t="s">
        <v>1184</v>
      </c>
      <c r="F66" s="26" t="s">
        <v>895</v>
      </c>
      <c r="G66" s="26" t="s">
        <v>893</v>
      </c>
      <c r="H66" s="26" t="s">
        <v>895</v>
      </c>
      <c r="I66" s="26" t="s">
        <v>1162</v>
      </c>
      <c r="J66" s="26">
        <v>29989.0</v>
      </c>
      <c r="K66" s="26">
        <v>0.0</v>
      </c>
      <c r="L66" s="26">
        <v>29989.0</v>
      </c>
      <c r="M66" s="26">
        <v>13.0</v>
      </c>
      <c r="AF66" s="26">
        <v>5.2</v>
      </c>
      <c r="AG66" s="26">
        <v>0.4</v>
      </c>
      <c r="AH66" s="26">
        <v>0.4</v>
      </c>
      <c r="AI66" s="26">
        <v>13.0</v>
      </c>
      <c r="AJ66" s="26">
        <v>1.1</v>
      </c>
      <c r="AK66" s="26">
        <v>1.5</v>
      </c>
    </row>
    <row r="67" ht="14.25" customHeight="1">
      <c r="A67" s="26" t="s">
        <v>893</v>
      </c>
      <c r="B67" s="26" t="s">
        <v>894</v>
      </c>
      <c r="C67" s="26" t="s">
        <v>896</v>
      </c>
      <c r="D67" s="26" t="s">
        <v>13</v>
      </c>
      <c r="E67" s="26" t="s">
        <v>1185</v>
      </c>
      <c r="F67" s="26" t="s">
        <v>895</v>
      </c>
      <c r="G67" s="26" t="s">
        <v>893</v>
      </c>
      <c r="H67" s="26" t="s">
        <v>895</v>
      </c>
      <c r="I67" s="26" t="s">
        <v>1186</v>
      </c>
      <c r="J67" s="26">
        <v>-10000.0</v>
      </c>
      <c r="K67" s="26">
        <v>0.0</v>
      </c>
      <c r="L67" s="26">
        <v>-10000.0</v>
      </c>
      <c r="M67" s="26">
        <v>55.0</v>
      </c>
      <c r="N67" s="26">
        <v>3320.0</v>
      </c>
      <c r="O67" s="26">
        <v>83.7</v>
      </c>
      <c r="AF67" s="26">
        <v>42.0</v>
      </c>
      <c r="AG67" s="26">
        <v>1.5</v>
      </c>
      <c r="AH67" s="26">
        <v>1.4</v>
      </c>
      <c r="AI67" s="26">
        <v>83.7</v>
      </c>
      <c r="AJ67" s="26">
        <v>1.5</v>
      </c>
      <c r="AK67" s="26">
        <v>1.4</v>
      </c>
    </row>
    <row r="68" ht="14.25" customHeight="1">
      <c r="A68" s="26" t="s">
        <v>893</v>
      </c>
      <c r="B68" s="26" t="s">
        <v>894</v>
      </c>
      <c r="C68" s="26" t="s">
        <v>896</v>
      </c>
      <c r="D68" s="26" t="s">
        <v>13</v>
      </c>
      <c r="E68" s="26" t="s">
        <v>1187</v>
      </c>
      <c r="F68" s="26" t="s">
        <v>895</v>
      </c>
      <c r="G68" s="26" t="s">
        <v>893</v>
      </c>
      <c r="H68" s="26" t="s">
        <v>895</v>
      </c>
      <c r="I68" s="26" t="s">
        <v>1186</v>
      </c>
      <c r="J68" s="26">
        <v>-10000.0</v>
      </c>
      <c r="K68" s="26">
        <v>0.0</v>
      </c>
      <c r="L68" s="26">
        <v>-10000.0</v>
      </c>
      <c r="M68" s="26">
        <v>42.0</v>
      </c>
      <c r="N68" s="26">
        <v>3320.0</v>
      </c>
      <c r="O68" s="26">
        <v>83.7</v>
      </c>
      <c r="AF68" s="26">
        <v>42.0</v>
      </c>
      <c r="AG68" s="26">
        <v>1.3</v>
      </c>
      <c r="AH68" s="26">
        <v>1.5</v>
      </c>
      <c r="AI68" s="26">
        <v>83.7</v>
      </c>
      <c r="AJ68" s="26">
        <v>1.3</v>
      </c>
      <c r="AK68" s="26">
        <v>1.5</v>
      </c>
    </row>
    <row r="69" ht="14.25" customHeight="1">
      <c r="A69" s="26" t="s">
        <v>893</v>
      </c>
      <c r="B69" s="26" t="s">
        <v>894</v>
      </c>
      <c r="C69" s="26" t="s">
        <v>896</v>
      </c>
      <c r="D69" s="26" t="s">
        <v>13</v>
      </c>
      <c r="E69" s="26" t="s">
        <v>1188</v>
      </c>
      <c r="F69" s="26" t="s">
        <v>895</v>
      </c>
      <c r="G69" s="26" t="s">
        <v>893</v>
      </c>
      <c r="H69" s="26" t="s">
        <v>895</v>
      </c>
      <c r="I69" s="26" t="s">
        <v>1186</v>
      </c>
      <c r="J69" s="26">
        <v>-10000.0</v>
      </c>
      <c r="K69" s="26">
        <v>0.0</v>
      </c>
      <c r="L69" s="26">
        <v>-10000.0</v>
      </c>
      <c r="M69" s="26">
        <v>70.0</v>
      </c>
      <c r="N69" s="26">
        <v>3180.0</v>
      </c>
      <c r="O69" s="26">
        <v>138.5</v>
      </c>
      <c r="P69" s="26">
        <v>7660.0</v>
      </c>
      <c r="Q69" s="26">
        <v>150.0</v>
      </c>
      <c r="AF69" s="26">
        <v>70.0</v>
      </c>
      <c r="AG69" s="26">
        <v>2.3</v>
      </c>
      <c r="AH69" s="26">
        <v>2.7</v>
      </c>
      <c r="AI69" s="26">
        <v>150.0</v>
      </c>
      <c r="AJ69" s="26">
        <v>2.3</v>
      </c>
      <c r="AK69" s="26">
        <v>2.7</v>
      </c>
    </row>
    <row r="70" ht="14.25" customHeight="1">
      <c r="A70" s="26" t="s">
        <v>893</v>
      </c>
      <c r="B70" s="26" t="s">
        <v>894</v>
      </c>
      <c r="C70" s="26" t="s">
        <v>896</v>
      </c>
      <c r="D70" s="26" t="s">
        <v>13</v>
      </c>
      <c r="E70" s="26" t="s">
        <v>1189</v>
      </c>
      <c r="F70" s="26" t="s">
        <v>895</v>
      </c>
      <c r="G70" s="26" t="s">
        <v>893</v>
      </c>
      <c r="H70" s="26" t="s">
        <v>895</v>
      </c>
      <c r="I70" s="26" t="s">
        <v>1190</v>
      </c>
      <c r="J70" s="26">
        <v>14720.1</v>
      </c>
      <c r="K70" s="26">
        <v>0.0</v>
      </c>
      <c r="L70" s="26">
        <v>14720.1</v>
      </c>
      <c r="M70" s="26">
        <v>6.0</v>
      </c>
      <c r="AF70" s="26">
        <v>1.0</v>
      </c>
      <c r="AG70" s="26">
        <v>0.1</v>
      </c>
      <c r="AH70" s="26">
        <v>0.1</v>
      </c>
      <c r="AI70" s="26">
        <v>6.0</v>
      </c>
      <c r="AJ70" s="26">
        <v>0.3</v>
      </c>
      <c r="AK70" s="26">
        <v>0.3</v>
      </c>
    </row>
    <row r="71" ht="14.25" customHeight="1">
      <c r="A71" s="26" t="s">
        <v>893</v>
      </c>
      <c r="B71" s="26" t="s">
        <v>894</v>
      </c>
      <c r="C71" s="26" t="s">
        <v>896</v>
      </c>
      <c r="D71" s="26" t="s">
        <v>13</v>
      </c>
      <c r="E71" s="26" t="s">
        <v>1191</v>
      </c>
      <c r="F71" s="26" t="s">
        <v>895</v>
      </c>
      <c r="G71" s="26" t="s">
        <v>893</v>
      </c>
      <c r="H71" s="26" t="s">
        <v>895</v>
      </c>
      <c r="I71" s="26" t="s">
        <v>1190</v>
      </c>
      <c r="J71" s="26">
        <v>14720.1</v>
      </c>
      <c r="K71" s="26">
        <v>0.0</v>
      </c>
      <c r="L71" s="26">
        <v>14720.1</v>
      </c>
      <c r="M71" s="26">
        <v>6.0</v>
      </c>
      <c r="AF71" s="26">
        <v>1.0</v>
      </c>
      <c r="AG71" s="26">
        <v>0.1</v>
      </c>
      <c r="AH71" s="26">
        <v>0.4</v>
      </c>
      <c r="AI71" s="26">
        <v>6.0</v>
      </c>
      <c r="AJ71" s="26">
        <v>0.3</v>
      </c>
      <c r="AK71" s="26">
        <v>0.4</v>
      </c>
    </row>
    <row r="72" ht="14.25" customHeight="1">
      <c r="A72" s="26" t="s">
        <v>893</v>
      </c>
      <c r="B72" s="26" t="s">
        <v>894</v>
      </c>
      <c r="C72" s="26" t="s">
        <v>896</v>
      </c>
      <c r="D72" s="26" t="s">
        <v>13</v>
      </c>
      <c r="E72" s="26" t="s">
        <v>1192</v>
      </c>
      <c r="F72" s="26" t="s">
        <v>895</v>
      </c>
      <c r="G72" s="26" t="s">
        <v>893</v>
      </c>
      <c r="H72" s="26" t="s">
        <v>895</v>
      </c>
      <c r="I72" s="26" t="s">
        <v>1190</v>
      </c>
      <c r="J72" s="26">
        <v>14720.1</v>
      </c>
      <c r="K72" s="26">
        <v>0.0</v>
      </c>
      <c r="L72" s="26">
        <v>14720.1</v>
      </c>
      <c r="M72" s="26">
        <v>6.0</v>
      </c>
      <c r="AF72" s="26">
        <v>1.0</v>
      </c>
      <c r="AG72" s="26">
        <v>0.1</v>
      </c>
      <c r="AH72" s="26">
        <v>0.3</v>
      </c>
      <c r="AI72" s="26">
        <v>6.0</v>
      </c>
      <c r="AJ72" s="26">
        <v>0.2</v>
      </c>
      <c r="AK72" s="26">
        <v>0.3</v>
      </c>
    </row>
    <row r="73" ht="14.25" customHeight="1">
      <c r="A73" s="26" t="s">
        <v>893</v>
      </c>
      <c r="B73" s="26" t="s">
        <v>894</v>
      </c>
      <c r="C73" s="26" t="s">
        <v>896</v>
      </c>
      <c r="D73" s="26" t="s">
        <v>13</v>
      </c>
      <c r="E73" s="26" t="s">
        <v>1193</v>
      </c>
      <c r="F73" s="26" t="s">
        <v>895</v>
      </c>
      <c r="G73" s="26" t="s">
        <v>893</v>
      </c>
      <c r="H73" s="26" t="s">
        <v>895</v>
      </c>
      <c r="I73" s="26" t="s">
        <v>1190</v>
      </c>
      <c r="J73" s="26">
        <v>14720.1</v>
      </c>
      <c r="K73" s="26">
        <v>0.0</v>
      </c>
      <c r="L73" s="26">
        <v>14720.1</v>
      </c>
      <c r="M73" s="26">
        <v>6.0</v>
      </c>
      <c r="AF73" s="26">
        <v>1.0</v>
      </c>
      <c r="AG73" s="26">
        <v>0.1</v>
      </c>
      <c r="AH73" s="26">
        <v>0.4</v>
      </c>
      <c r="AI73" s="26">
        <v>6.0</v>
      </c>
      <c r="AJ73" s="26">
        <v>0.3</v>
      </c>
      <c r="AK73" s="26">
        <v>0.4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8.71"/>
  </cols>
  <sheetData>
    <row r="1" ht="14.25" customHeight="1">
      <c r="A1" s="32" t="s">
        <v>882</v>
      </c>
      <c r="B1" s="32" t="s">
        <v>883</v>
      </c>
      <c r="C1" s="32" t="s">
        <v>1059</v>
      </c>
      <c r="D1" s="32" t="s">
        <v>1060</v>
      </c>
      <c r="E1" s="32" t="s">
        <v>1061</v>
      </c>
      <c r="F1" s="32" t="s">
        <v>884</v>
      </c>
      <c r="G1" s="32" t="s">
        <v>1062</v>
      </c>
      <c r="H1" s="32" t="s">
        <v>1063</v>
      </c>
      <c r="I1" s="32" t="s">
        <v>1064</v>
      </c>
      <c r="J1" s="33" t="s">
        <v>1065</v>
      </c>
      <c r="K1" s="33" t="s">
        <v>1066</v>
      </c>
      <c r="L1" s="33" t="s">
        <v>1067</v>
      </c>
      <c r="M1" s="33" t="s">
        <v>1068</v>
      </c>
      <c r="N1" s="33" t="s">
        <v>1069</v>
      </c>
      <c r="O1" s="33" t="s">
        <v>1070</v>
      </c>
      <c r="P1" s="33" t="s">
        <v>1071</v>
      </c>
      <c r="Q1" s="33" t="s">
        <v>1072</v>
      </c>
      <c r="R1" s="33" t="s">
        <v>1073</v>
      </c>
      <c r="S1" s="33" t="s">
        <v>1074</v>
      </c>
      <c r="T1" s="33" t="s">
        <v>1075</v>
      </c>
      <c r="U1" s="33" t="s">
        <v>1076</v>
      </c>
      <c r="V1" s="33" t="s">
        <v>1077</v>
      </c>
      <c r="W1" s="33" t="s">
        <v>1078</v>
      </c>
      <c r="X1" s="33" t="s">
        <v>1079</v>
      </c>
      <c r="Y1" s="33" t="s">
        <v>1080</v>
      </c>
      <c r="Z1" s="33" t="s">
        <v>1081</v>
      </c>
      <c r="AA1" s="33" t="s">
        <v>1082</v>
      </c>
      <c r="AB1" s="33" t="s">
        <v>1083</v>
      </c>
      <c r="AC1" s="33" t="s">
        <v>1084</v>
      </c>
      <c r="AD1" s="33" t="s">
        <v>1085</v>
      </c>
      <c r="AE1" s="33" t="s">
        <v>1086</v>
      </c>
      <c r="AF1" s="33" t="s">
        <v>1087</v>
      </c>
      <c r="AG1" s="33" t="s">
        <v>1088</v>
      </c>
      <c r="AH1" s="33" t="s">
        <v>1089</v>
      </c>
      <c r="AI1" s="33" t="s">
        <v>1090</v>
      </c>
      <c r="AJ1" s="33" t="s">
        <v>1091</v>
      </c>
      <c r="AK1" s="33" t="s">
        <v>1092</v>
      </c>
      <c r="AL1" s="33" t="s">
        <v>1093</v>
      </c>
      <c r="AM1" s="33" t="s">
        <v>1094</v>
      </c>
      <c r="AN1" s="33" t="s">
        <v>1095</v>
      </c>
      <c r="AO1" s="33" t="s">
        <v>1096</v>
      </c>
      <c r="AP1" s="33" t="s">
        <v>1097</v>
      </c>
      <c r="AQ1" s="33" t="s">
        <v>1098</v>
      </c>
      <c r="AR1" s="33" t="s">
        <v>1099</v>
      </c>
      <c r="AS1" s="33" t="s">
        <v>1100</v>
      </c>
      <c r="AT1" s="33" t="s">
        <v>1101</v>
      </c>
    </row>
    <row r="2" ht="14.25" customHeight="1">
      <c r="A2" s="26" t="s">
        <v>1057</v>
      </c>
      <c r="B2" s="26" t="s">
        <v>894</v>
      </c>
      <c r="C2" s="26" t="s">
        <v>896</v>
      </c>
      <c r="D2" s="26" t="s">
        <v>1102</v>
      </c>
      <c r="E2" s="26" t="s">
        <v>1103</v>
      </c>
      <c r="F2" s="26" t="s">
        <v>1058</v>
      </c>
      <c r="G2" s="26" t="s">
        <v>1057</v>
      </c>
      <c r="H2" s="26" t="s">
        <v>1058</v>
      </c>
      <c r="I2" s="26" t="s">
        <v>1104</v>
      </c>
      <c r="J2" s="26">
        <v>21900.0</v>
      </c>
      <c r="K2" s="26">
        <v>0.0</v>
      </c>
      <c r="L2" s="26">
        <v>21900.0</v>
      </c>
      <c r="M2" s="26">
        <v>5.5</v>
      </c>
      <c r="N2" s="26">
        <v>21910.0</v>
      </c>
      <c r="O2" s="26">
        <v>10.9</v>
      </c>
      <c r="AF2" s="26">
        <v>1.0</v>
      </c>
      <c r="AG2" s="26">
        <v>0.2</v>
      </c>
      <c r="AH2" s="26">
        <v>2.2</v>
      </c>
      <c r="AI2" s="26">
        <v>5.5</v>
      </c>
      <c r="AJ2" s="26">
        <v>1.1</v>
      </c>
      <c r="AK2" s="26">
        <v>2.2</v>
      </c>
      <c r="AL2" s="26">
        <v>10.9</v>
      </c>
      <c r="AM2" s="26">
        <v>2.2</v>
      </c>
      <c r="AN2" s="26">
        <v>2.2</v>
      </c>
    </row>
    <row r="3" ht="14.25" customHeight="1">
      <c r="A3" s="26" t="s">
        <v>1057</v>
      </c>
      <c r="B3" s="26" t="s">
        <v>894</v>
      </c>
      <c r="C3" s="26" t="s">
        <v>896</v>
      </c>
      <c r="D3" s="26" t="s">
        <v>1102</v>
      </c>
      <c r="E3" s="26" t="s">
        <v>1105</v>
      </c>
      <c r="F3" s="26" t="s">
        <v>1058</v>
      </c>
      <c r="G3" s="26" t="s">
        <v>1057</v>
      </c>
      <c r="H3" s="26" t="s">
        <v>1058</v>
      </c>
      <c r="I3" s="26" t="s">
        <v>1106</v>
      </c>
      <c r="J3" s="26">
        <v>31999.0</v>
      </c>
      <c r="K3" s="26">
        <v>0.0</v>
      </c>
      <c r="L3" s="26">
        <v>31999.0</v>
      </c>
      <c r="M3" s="26">
        <v>10.0</v>
      </c>
      <c r="AF3" s="26">
        <v>10.0</v>
      </c>
      <c r="AG3" s="26">
        <v>5.0</v>
      </c>
      <c r="AH3" s="26">
        <v>5.0</v>
      </c>
    </row>
    <row r="4" ht="14.25" customHeight="1">
      <c r="A4" s="26" t="s">
        <v>1057</v>
      </c>
      <c r="B4" s="26" t="s">
        <v>894</v>
      </c>
      <c r="C4" s="26" t="s">
        <v>896</v>
      </c>
      <c r="D4" s="26" t="s">
        <v>1102</v>
      </c>
      <c r="E4" s="26" t="s">
        <v>1107</v>
      </c>
      <c r="F4" s="26" t="s">
        <v>1058</v>
      </c>
      <c r="G4" s="26" t="s">
        <v>1057</v>
      </c>
      <c r="H4" s="26" t="s">
        <v>1058</v>
      </c>
      <c r="I4" s="26" t="s">
        <v>1106</v>
      </c>
      <c r="J4" s="26">
        <v>31996.0</v>
      </c>
      <c r="K4" s="26">
        <v>0.0</v>
      </c>
      <c r="L4" s="26">
        <v>31996.0</v>
      </c>
      <c r="M4" s="26">
        <v>10.0</v>
      </c>
      <c r="AF4" s="26">
        <v>10.0</v>
      </c>
      <c r="AG4" s="26">
        <v>5.0</v>
      </c>
      <c r="AH4" s="26">
        <v>5.0</v>
      </c>
    </row>
    <row r="5" ht="14.25" customHeight="1">
      <c r="A5" s="26" t="s">
        <v>1057</v>
      </c>
      <c r="B5" s="26" t="s">
        <v>894</v>
      </c>
      <c r="C5" s="26" t="s">
        <v>896</v>
      </c>
      <c r="D5" s="26" t="s">
        <v>1102</v>
      </c>
      <c r="E5" s="26" t="s">
        <v>1108</v>
      </c>
      <c r="F5" s="26" t="s">
        <v>1058</v>
      </c>
      <c r="G5" s="26" t="s">
        <v>1057</v>
      </c>
      <c r="H5" s="26" t="s">
        <v>1058</v>
      </c>
      <c r="I5" s="26" t="s">
        <v>1106</v>
      </c>
      <c r="J5" s="26">
        <v>31997.0</v>
      </c>
      <c r="K5" s="26">
        <v>0.0</v>
      </c>
      <c r="L5" s="26">
        <v>31997.0</v>
      </c>
      <c r="M5" s="26">
        <v>15.0</v>
      </c>
      <c r="AF5" s="26">
        <v>15.0</v>
      </c>
      <c r="AG5" s="26">
        <v>5.0</v>
      </c>
      <c r="AH5" s="26">
        <v>5.0</v>
      </c>
    </row>
    <row r="6" ht="14.25" customHeight="1">
      <c r="A6" s="26" t="s">
        <v>1057</v>
      </c>
      <c r="B6" s="26" t="s">
        <v>894</v>
      </c>
      <c r="C6" s="26" t="s">
        <v>896</v>
      </c>
      <c r="D6" s="26" t="s">
        <v>1102</v>
      </c>
      <c r="E6" s="26" t="s">
        <v>1109</v>
      </c>
      <c r="F6" s="26" t="s">
        <v>1058</v>
      </c>
      <c r="G6" s="26" t="s">
        <v>1057</v>
      </c>
      <c r="H6" s="26" t="s">
        <v>1058</v>
      </c>
      <c r="I6" s="26" t="s">
        <v>1106</v>
      </c>
      <c r="J6" s="26">
        <v>31998.0</v>
      </c>
      <c r="K6" s="26">
        <v>0.0</v>
      </c>
      <c r="L6" s="26">
        <v>31998.0</v>
      </c>
      <c r="M6" s="26">
        <v>10.0</v>
      </c>
      <c r="AF6" s="26">
        <v>10.0</v>
      </c>
      <c r="AG6" s="26">
        <v>5.0</v>
      </c>
      <c r="AH6" s="26">
        <v>5.0</v>
      </c>
    </row>
    <row r="7" ht="14.25" customHeight="1">
      <c r="A7" s="26" t="s">
        <v>1057</v>
      </c>
      <c r="B7" s="26" t="s">
        <v>894</v>
      </c>
      <c r="C7" s="26" t="s">
        <v>896</v>
      </c>
      <c r="D7" s="26" t="s">
        <v>1102</v>
      </c>
      <c r="E7" s="26" t="s">
        <v>1110</v>
      </c>
      <c r="F7" s="26" t="s">
        <v>1058</v>
      </c>
      <c r="G7" s="26" t="s">
        <v>1057</v>
      </c>
      <c r="H7" s="26" t="s">
        <v>1058</v>
      </c>
      <c r="I7" s="26" t="s">
        <v>1106</v>
      </c>
      <c r="J7" s="26">
        <v>31995.0</v>
      </c>
      <c r="K7" s="26">
        <v>0.0</v>
      </c>
      <c r="L7" s="26">
        <v>31995.0</v>
      </c>
      <c r="M7" s="26">
        <v>15.0</v>
      </c>
      <c r="AF7" s="26">
        <v>15.0</v>
      </c>
      <c r="AG7" s="26">
        <v>5.0</v>
      </c>
      <c r="AH7" s="26">
        <v>5.0</v>
      </c>
    </row>
    <row r="8" ht="14.25" customHeight="1">
      <c r="A8" s="26" t="s">
        <v>1057</v>
      </c>
      <c r="B8" s="26" t="s">
        <v>894</v>
      </c>
      <c r="C8" s="26" t="s">
        <v>896</v>
      </c>
      <c r="D8" s="26" t="s">
        <v>1102</v>
      </c>
      <c r="E8" s="26" t="s">
        <v>1111</v>
      </c>
      <c r="F8" s="26" t="s">
        <v>1058</v>
      </c>
      <c r="G8" s="26" t="s">
        <v>1057</v>
      </c>
      <c r="H8" s="26" t="s">
        <v>1058</v>
      </c>
      <c r="I8" s="26" t="s">
        <v>1106</v>
      </c>
      <c r="J8" s="26">
        <v>32000.0</v>
      </c>
      <c r="K8" s="26">
        <v>0.0</v>
      </c>
      <c r="L8" s="26">
        <v>32000.0</v>
      </c>
      <c r="M8" s="26">
        <v>10.0</v>
      </c>
      <c r="AF8" s="26">
        <v>10.0</v>
      </c>
      <c r="AG8" s="26">
        <v>5.0</v>
      </c>
      <c r="AH8" s="26">
        <v>5.0</v>
      </c>
    </row>
    <row r="9" ht="14.25" customHeight="1">
      <c r="A9" s="26" t="s">
        <v>1057</v>
      </c>
      <c r="B9" s="26" t="s">
        <v>894</v>
      </c>
      <c r="C9" s="26" t="s">
        <v>896</v>
      </c>
      <c r="D9" s="26" t="s">
        <v>1102</v>
      </c>
      <c r="E9" s="26" t="s">
        <v>1112</v>
      </c>
      <c r="F9" s="26" t="s">
        <v>1058</v>
      </c>
      <c r="G9" s="26" t="s">
        <v>1057</v>
      </c>
      <c r="H9" s="26" t="s">
        <v>1058</v>
      </c>
      <c r="I9" s="26" t="s">
        <v>1113</v>
      </c>
      <c r="J9" s="26">
        <v>32000.0</v>
      </c>
      <c r="K9" s="26">
        <v>0.0</v>
      </c>
      <c r="L9" s="26">
        <v>32000.0</v>
      </c>
      <c r="M9" s="26">
        <v>40.0</v>
      </c>
      <c r="AF9" s="26">
        <v>40.0</v>
      </c>
      <c r="AG9" s="26">
        <v>5004.0</v>
      </c>
      <c r="AH9" s="26">
        <v>5004.0</v>
      </c>
    </row>
    <row r="10" ht="14.25" customHeight="1">
      <c r="A10" s="26" t="s">
        <v>1057</v>
      </c>
      <c r="B10" s="26" t="s">
        <v>894</v>
      </c>
      <c r="C10" s="26" t="s">
        <v>896</v>
      </c>
      <c r="D10" s="26" t="s">
        <v>1102</v>
      </c>
      <c r="E10" s="26" t="s">
        <v>1114</v>
      </c>
      <c r="F10" s="26" t="s">
        <v>1058</v>
      </c>
      <c r="G10" s="26" t="s">
        <v>1057</v>
      </c>
      <c r="H10" s="26" t="s">
        <v>1058</v>
      </c>
      <c r="I10" s="26" t="s">
        <v>1115</v>
      </c>
      <c r="J10" s="26">
        <v>-10000.0</v>
      </c>
      <c r="K10" s="26">
        <v>-10.0</v>
      </c>
      <c r="L10" s="26">
        <v>-10000.0</v>
      </c>
      <c r="M10" s="26">
        <v>0.0</v>
      </c>
      <c r="N10" s="26">
        <v>32000.0</v>
      </c>
      <c r="O10" s="26">
        <v>10.0</v>
      </c>
      <c r="AF10" s="26">
        <v>10.0</v>
      </c>
      <c r="AG10" s="26">
        <v>999.0</v>
      </c>
      <c r="AH10" s="26">
        <v>999.0</v>
      </c>
    </row>
    <row r="11" ht="14.25" customHeight="1">
      <c r="A11" s="26" t="s">
        <v>1057</v>
      </c>
      <c r="B11" s="26" t="s">
        <v>894</v>
      </c>
      <c r="C11" s="26" t="s">
        <v>896</v>
      </c>
      <c r="D11" s="26" t="s">
        <v>248</v>
      </c>
      <c r="E11" s="26" t="s">
        <v>1116</v>
      </c>
      <c r="F11" s="26" t="s">
        <v>1058</v>
      </c>
      <c r="G11" s="26" t="s">
        <v>1057</v>
      </c>
      <c r="H11" s="26" t="s">
        <v>1058</v>
      </c>
      <c r="I11" s="26" t="s">
        <v>1117</v>
      </c>
      <c r="J11" s="26">
        <v>32000.0</v>
      </c>
      <c r="K11" s="26">
        <v>0.0</v>
      </c>
      <c r="L11" s="26">
        <v>32000.0</v>
      </c>
      <c r="M11" s="26">
        <v>10.0</v>
      </c>
      <c r="AF11" s="26">
        <v>10.0</v>
      </c>
      <c r="AG11" s="26">
        <v>1.0</v>
      </c>
      <c r="AH11" s="26">
        <v>1.0</v>
      </c>
    </row>
    <row r="12" ht="14.25" customHeight="1">
      <c r="A12" s="26" t="s">
        <v>1057</v>
      </c>
      <c r="B12" s="26" t="s">
        <v>894</v>
      </c>
      <c r="C12" s="26" t="s">
        <v>896</v>
      </c>
      <c r="D12" s="26" t="s">
        <v>248</v>
      </c>
      <c r="E12" s="26" t="s">
        <v>1118</v>
      </c>
      <c r="F12" s="26" t="s">
        <v>1058</v>
      </c>
      <c r="G12" s="26" t="s">
        <v>1057</v>
      </c>
      <c r="H12" s="26" t="s">
        <v>1058</v>
      </c>
      <c r="I12" s="26" t="s">
        <v>1117</v>
      </c>
      <c r="J12" s="26">
        <v>32000.0</v>
      </c>
      <c r="K12" s="26">
        <v>0.0</v>
      </c>
      <c r="L12" s="26">
        <v>32000.0</v>
      </c>
      <c r="M12" s="26">
        <v>10.0</v>
      </c>
      <c r="AF12" s="26">
        <v>10.0</v>
      </c>
      <c r="AG12" s="26">
        <v>1.0</v>
      </c>
      <c r="AH12" s="26">
        <v>1.0</v>
      </c>
    </row>
    <row r="13" ht="14.25" customHeight="1">
      <c r="A13" s="26" t="s">
        <v>1057</v>
      </c>
      <c r="B13" s="26" t="s">
        <v>894</v>
      </c>
      <c r="C13" s="26" t="s">
        <v>896</v>
      </c>
      <c r="D13" s="26" t="s">
        <v>248</v>
      </c>
      <c r="E13" s="26" t="s">
        <v>1194</v>
      </c>
      <c r="F13" s="26" t="s">
        <v>1058</v>
      </c>
      <c r="G13" s="26" t="s">
        <v>1057</v>
      </c>
      <c r="H13" s="26" t="s">
        <v>1058</v>
      </c>
      <c r="I13" s="26" t="s">
        <v>1117</v>
      </c>
      <c r="J13" s="26">
        <v>32000.0</v>
      </c>
      <c r="K13" s="26">
        <v>0.0</v>
      </c>
      <c r="L13" s="26">
        <v>32000.0</v>
      </c>
      <c r="M13" s="26">
        <v>10.0</v>
      </c>
      <c r="AF13" s="26">
        <v>10.0</v>
      </c>
      <c r="AG13" s="26">
        <v>1.0</v>
      </c>
      <c r="AH13" s="26">
        <v>1.0</v>
      </c>
    </row>
    <row r="14" ht="14.25" customHeight="1">
      <c r="A14" s="26" t="s">
        <v>1057</v>
      </c>
      <c r="B14" s="26" t="s">
        <v>894</v>
      </c>
      <c r="C14" s="26" t="s">
        <v>896</v>
      </c>
      <c r="D14" s="26" t="s">
        <v>248</v>
      </c>
      <c r="E14" s="26" t="s">
        <v>1119</v>
      </c>
      <c r="F14" s="26" t="s">
        <v>1058</v>
      </c>
      <c r="G14" s="26" t="s">
        <v>1057</v>
      </c>
      <c r="H14" s="26" t="s">
        <v>1058</v>
      </c>
      <c r="I14" s="26" t="s">
        <v>1120</v>
      </c>
      <c r="J14" s="26">
        <v>-10000.0</v>
      </c>
      <c r="K14" s="26">
        <v>0.0</v>
      </c>
      <c r="L14" s="26">
        <v>-10000.0</v>
      </c>
      <c r="M14" s="26">
        <v>45.1</v>
      </c>
      <c r="N14" s="26">
        <v>3240.0</v>
      </c>
      <c r="O14" s="26">
        <v>83.2</v>
      </c>
      <c r="AF14" s="26">
        <v>45.1</v>
      </c>
      <c r="AG14" s="26">
        <v>1.0</v>
      </c>
      <c r="AH14" s="26">
        <v>1.0</v>
      </c>
      <c r="AI14" s="26">
        <v>83.2</v>
      </c>
      <c r="AJ14" s="26">
        <v>1.0</v>
      </c>
      <c r="AK14" s="26">
        <v>1.0</v>
      </c>
    </row>
    <row r="15" ht="14.25" customHeight="1">
      <c r="A15" s="26" t="s">
        <v>1057</v>
      </c>
      <c r="B15" s="26" t="s">
        <v>894</v>
      </c>
      <c r="C15" s="26" t="s">
        <v>896</v>
      </c>
      <c r="D15" s="26" t="s">
        <v>248</v>
      </c>
      <c r="E15" s="26" t="s">
        <v>1121</v>
      </c>
      <c r="F15" s="26" t="s">
        <v>1058</v>
      </c>
      <c r="G15" s="26" t="s">
        <v>1057</v>
      </c>
      <c r="H15" s="26" t="s">
        <v>1058</v>
      </c>
      <c r="I15" s="26" t="s">
        <v>1120</v>
      </c>
      <c r="J15" s="26">
        <v>-10000.0</v>
      </c>
      <c r="K15" s="26">
        <v>0.0</v>
      </c>
      <c r="L15" s="26">
        <v>-10000.0</v>
      </c>
      <c r="M15" s="26">
        <v>45.1</v>
      </c>
      <c r="N15" s="26">
        <v>3240.0</v>
      </c>
      <c r="O15" s="26">
        <v>83.4</v>
      </c>
      <c r="AF15" s="26">
        <v>45.1</v>
      </c>
      <c r="AG15" s="26">
        <v>1.0</v>
      </c>
      <c r="AH15" s="26">
        <v>1.0</v>
      </c>
      <c r="AI15" s="26">
        <v>83.4</v>
      </c>
      <c r="AJ15" s="26">
        <v>1.0</v>
      </c>
      <c r="AK15" s="26">
        <v>1.0</v>
      </c>
    </row>
    <row r="16" ht="14.25" customHeight="1">
      <c r="A16" s="26" t="s">
        <v>1057</v>
      </c>
      <c r="B16" s="26" t="s">
        <v>894</v>
      </c>
      <c r="C16" s="26" t="s">
        <v>896</v>
      </c>
      <c r="D16" s="26" t="s">
        <v>248</v>
      </c>
      <c r="E16" s="26" t="s">
        <v>1122</v>
      </c>
      <c r="F16" s="26" t="s">
        <v>1058</v>
      </c>
      <c r="G16" s="26" t="s">
        <v>1057</v>
      </c>
      <c r="H16" s="26" t="s">
        <v>1058</v>
      </c>
      <c r="I16" s="26" t="s">
        <v>1120</v>
      </c>
      <c r="J16" s="26">
        <v>-10000.0</v>
      </c>
      <c r="K16" s="26">
        <v>0.0</v>
      </c>
      <c r="L16" s="26">
        <v>-10000.0</v>
      </c>
      <c r="M16" s="26">
        <v>45.1</v>
      </c>
      <c r="N16" s="26">
        <v>3240.0</v>
      </c>
      <c r="O16" s="26">
        <v>83.1</v>
      </c>
      <c r="AF16" s="26">
        <v>45.1</v>
      </c>
      <c r="AG16" s="26">
        <v>1.0</v>
      </c>
      <c r="AH16" s="26">
        <v>1.0</v>
      </c>
      <c r="AI16" s="26">
        <v>83.1</v>
      </c>
      <c r="AJ16" s="26">
        <v>1.0</v>
      </c>
      <c r="AK16" s="26">
        <v>1.0</v>
      </c>
    </row>
    <row r="17" ht="14.25" customHeight="1">
      <c r="A17" s="26" t="s">
        <v>1057</v>
      </c>
      <c r="B17" s="26" t="s">
        <v>894</v>
      </c>
      <c r="C17" s="26" t="s">
        <v>896</v>
      </c>
      <c r="D17" s="26" t="s">
        <v>248</v>
      </c>
      <c r="E17" s="26" t="s">
        <v>1123</v>
      </c>
      <c r="F17" s="26" t="s">
        <v>1058</v>
      </c>
      <c r="G17" s="26" t="s">
        <v>1057</v>
      </c>
      <c r="H17" s="26" t="s">
        <v>1058</v>
      </c>
      <c r="I17" s="26" t="s">
        <v>1124</v>
      </c>
      <c r="J17" s="26">
        <v>32000.0</v>
      </c>
      <c r="K17" s="26">
        <v>0.0</v>
      </c>
      <c r="L17" s="26">
        <v>32000.0</v>
      </c>
      <c r="M17" s="26">
        <v>6.5</v>
      </c>
      <c r="AF17" s="26">
        <v>4.0</v>
      </c>
      <c r="AG17" s="26">
        <v>0.3</v>
      </c>
      <c r="AH17" s="26">
        <v>0.7</v>
      </c>
      <c r="AI17" s="26">
        <v>6.5</v>
      </c>
      <c r="AJ17" s="26">
        <v>0.4</v>
      </c>
      <c r="AK17" s="26">
        <v>1.4</v>
      </c>
    </row>
    <row r="18" ht="14.25" customHeight="1">
      <c r="A18" s="26" t="s">
        <v>1057</v>
      </c>
      <c r="B18" s="26" t="s">
        <v>894</v>
      </c>
      <c r="C18" s="26" t="s">
        <v>896</v>
      </c>
      <c r="D18" s="26" t="s">
        <v>248</v>
      </c>
      <c r="E18" s="26" t="s">
        <v>1125</v>
      </c>
      <c r="F18" s="26" t="s">
        <v>1058</v>
      </c>
      <c r="G18" s="26" t="s">
        <v>1057</v>
      </c>
      <c r="H18" s="26" t="s">
        <v>1058</v>
      </c>
      <c r="I18" s="26" t="s">
        <v>1124</v>
      </c>
      <c r="J18" s="26">
        <v>32000.0</v>
      </c>
      <c r="K18" s="26">
        <v>0.0</v>
      </c>
      <c r="L18" s="26">
        <v>32000.0</v>
      </c>
      <c r="M18" s="26">
        <v>6.5</v>
      </c>
      <c r="AF18" s="26">
        <v>4.0</v>
      </c>
      <c r="AG18" s="26">
        <v>0.3</v>
      </c>
      <c r="AH18" s="26">
        <v>0.7</v>
      </c>
      <c r="AI18" s="26">
        <v>6.5</v>
      </c>
      <c r="AJ18" s="26">
        <v>0.4</v>
      </c>
      <c r="AK18" s="26">
        <v>1.4</v>
      </c>
    </row>
    <row r="19" ht="14.25" customHeight="1">
      <c r="A19" s="26" t="s">
        <v>1057</v>
      </c>
      <c r="B19" s="26" t="s">
        <v>894</v>
      </c>
      <c r="C19" s="26" t="s">
        <v>896</v>
      </c>
      <c r="D19" s="26" t="s">
        <v>248</v>
      </c>
      <c r="E19" s="26" t="s">
        <v>1126</v>
      </c>
      <c r="F19" s="26" t="s">
        <v>1058</v>
      </c>
      <c r="G19" s="26" t="s">
        <v>1057</v>
      </c>
      <c r="H19" s="26" t="s">
        <v>1058</v>
      </c>
      <c r="I19" s="26" t="s">
        <v>1124</v>
      </c>
      <c r="J19" s="26">
        <v>32000.0</v>
      </c>
      <c r="K19" s="26">
        <v>0.0</v>
      </c>
      <c r="L19" s="26">
        <v>32000.0</v>
      </c>
      <c r="M19" s="26">
        <v>6.5</v>
      </c>
      <c r="AF19" s="26">
        <v>4.0</v>
      </c>
      <c r="AG19" s="26">
        <v>0.3</v>
      </c>
      <c r="AH19" s="26">
        <v>0.7</v>
      </c>
      <c r="AI19" s="26">
        <v>6.5</v>
      </c>
      <c r="AJ19" s="26">
        <v>0.4</v>
      </c>
      <c r="AK19" s="26">
        <v>1.4</v>
      </c>
    </row>
    <row r="20" ht="14.25" customHeight="1">
      <c r="A20" s="26" t="s">
        <v>1057</v>
      </c>
      <c r="B20" s="26" t="s">
        <v>894</v>
      </c>
      <c r="C20" s="26" t="s">
        <v>896</v>
      </c>
      <c r="D20" s="26" t="s">
        <v>248</v>
      </c>
      <c r="E20" s="26" t="s">
        <v>1127</v>
      </c>
      <c r="F20" s="26" t="s">
        <v>1058</v>
      </c>
      <c r="G20" s="26" t="s">
        <v>1057</v>
      </c>
      <c r="H20" s="26" t="s">
        <v>1058</v>
      </c>
      <c r="I20" s="26" t="s">
        <v>1124</v>
      </c>
      <c r="J20" s="26">
        <v>32000.0</v>
      </c>
      <c r="K20" s="26">
        <v>0.0</v>
      </c>
      <c r="L20" s="26">
        <v>32000.0</v>
      </c>
      <c r="M20" s="26">
        <v>6.5</v>
      </c>
      <c r="AF20" s="26">
        <v>4.0</v>
      </c>
      <c r="AG20" s="26">
        <v>0.3</v>
      </c>
      <c r="AH20" s="26">
        <v>0.7</v>
      </c>
      <c r="AI20" s="26">
        <v>6.5</v>
      </c>
      <c r="AJ20" s="26">
        <v>0.4</v>
      </c>
      <c r="AK20" s="26">
        <v>1.4</v>
      </c>
    </row>
    <row r="21" ht="14.25" customHeight="1">
      <c r="A21" s="26" t="s">
        <v>1057</v>
      </c>
      <c r="B21" s="26" t="s">
        <v>894</v>
      </c>
      <c r="C21" s="26" t="s">
        <v>896</v>
      </c>
      <c r="D21" s="26" t="s">
        <v>248</v>
      </c>
      <c r="E21" s="26" t="s">
        <v>1128</v>
      </c>
      <c r="F21" s="26" t="s">
        <v>1058</v>
      </c>
      <c r="G21" s="26" t="s">
        <v>1057</v>
      </c>
      <c r="H21" s="26" t="s">
        <v>1058</v>
      </c>
      <c r="I21" s="26" t="s">
        <v>1124</v>
      </c>
      <c r="J21" s="26">
        <v>32000.0</v>
      </c>
      <c r="K21" s="26">
        <v>0.0</v>
      </c>
      <c r="L21" s="26">
        <v>32000.0</v>
      </c>
      <c r="M21" s="26">
        <v>6.5</v>
      </c>
      <c r="AF21" s="26">
        <v>4.0</v>
      </c>
      <c r="AG21" s="26">
        <v>0.3</v>
      </c>
      <c r="AH21" s="26">
        <v>0.7</v>
      </c>
      <c r="AI21" s="26">
        <v>6.5</v>
      </c>
      <c r="AJ21" s="26">
        <v>0.4</v>
      </c>
      <c r="AK21" s="26">
        <v>1.4</v>
      </c>
    </row>
    <row r="22" ht="14.25" customHeight="1">
      <c r="A22" s="26" t="s">
        <v>1057</v>
      </c>
      <c r="B22" s="26" t="s">
        <v>894</v>
      </c>
      <c r="C22" s="26" t="s">
        <v>896</v>
      </c>
      <c r="D22" s="26" t="s">
        <v>248</v>
      </c>
      <c r="E22" s="26" t="s">
        <v>1129</v>
      </c>
      <c r="F22" s="26" t="s">
        <v>1058</v>
      </c>
      <c r="G22" s="26" t="s">
        <v>1057</v>
      </c>
      <c r="H22" s="26" t="s">
        <v>1058</v>
      </c>
      <c r="I22" s="26" t="s">
        <v>1124</v>
      </c>
      <c r="J22" s="26">
        <v>32000.0</v>
      </c>
      <c r="K22" s="26">
        <v>0.0</v>
      </c>
      <c r="L22" s="26">
        <v>32000.0</v>
      </c>
      <c r="M22" s="26">
        <v>6.5</v>
      </c>
      <c r="AF22" s="26">
        <v>4.0</v>
      </c>
      <c r="AG22" s="26">
        <v>0.3</v>
      </c>
      <c r="AH22" s="26">
        <v>0.7</v>
      </c>
      <c r="AI22" s="26">
        <v>6.5</v>
      </c>
      <c r="AJ22" s="26">
        <v>0.4</v>
      </c>
      <c r="AK22" s="26">
        <v>1.4</v>
      </c>
    </row>
    <row r="23" ht="14.25" customHeight="1">
      <c r="A23" s="26" t="s">
        <v>1057</v>
      </c>
      <c r="B23" s="26" t="s">
        <v>894</v>
      </c>
      <c r="C23" s="26" t="s">
        <v>896</v>
      </c>
      <c r="D23" s="26" t="s">
        <v>248</v>
      </c>
      <c r="E23" s="26" t="s">
        <v>1130</v>
      </c>
      <c r="F23" s="26" t="s">
        <v>1058</v>
      </c>
      <c r="G23" s="26" t="s">
        <v>1057</v>
      </c>
      <c r="H23" s="26" t="s">
        <v>1058</v>
      </c>
      <c r="I23" s="26" t="s">
        <v>1124</v>
      </c>
      <c r="J23" s="26">
        <v>32000.0</v>
      </c>
      <c r="K23" s="26">
        <v>0.0</v>
      </c>
      <c r="L23" s="26">
        <v>32000.0</v>
      </c>
      <c r="M23" s="26">
        <v>6.5</v>
      </c>
      <c r="AF23" s="26">
        <v>4.0</v>
      </c>
      <c r="AG23" s="26">
        <v>0.3</v>
      </c>
      <c r="AH23" s="26">
        <v>0.7</v>
      </c>
      <c r="AI23" s="26">
        <v>6.5</v>
      </c>
      <c r="AJ23" s="26">
        <v>0.4</v>
      </c>
      <c r="AK23" s="26">
        <v>1.4</v>
      </c>
    </row>
    <row r="24" ht="14.25" customHeight="1">
      <c r="A24" s="26" t="s">
        <v>1057</v>
      </c>
      <c r="B24" s="26" t="s">
        <v>894</v>
      </c>
      <c r="C24" s="26" t="s">
        <v>896</v>
      </c>
      <c r="D24" s="26" t="s">
        <v>248</v>
      </c>
      <c r="E24" s="26" t="s">
        <v>1131</v>
      </c>
      <c r="F24" s="26" t="s">
        <v>1058</v>
      </c>
      <c r="G24" s="26" t="s">
        <v>1057</v>
      </c>
      <c r="H24" s="26" t="s">
        <v>1058</v>
      </c>
      <c r="I24" s="26" t="s">
        <v>1124</v>
      </c>
      <c r="J24" s="26">
        <v>32000.0</v>
      </c>
      <c r="K24" s="26">
        <v>0.0</v>
      </c>
      <c r="L24" s="26">
        <v>32000.0</v>
      </c>
      <c r="M24" s="26">
        <v>6.3</v>
      </c>
      <c r="AF24" s="26">
        <v>4.0</v>
      </c>
      <c r="AG24" s="26">
        <v>0.3</v>
      </c>
      <c r="AH24" s="26">
        <v>0.7</v>
      </c>
      <c r="AI24" s="26">
        <v>6.3</v>
      </c>
      <c r="AJ24" s="26">
        <v>0.4</v>
      </c>
      <c r="AK24" s="26">
        <v>1.4</v>
      </c>
    </row>
    <row r="25" ht="14.25" customHeight="1">
      <c r="A25" s="26" t="s">
        <v>1057</v>
      </c>
      <c r="B25" s="26" t="s">
        <v>894</v>
      </c>
      <c r="C25" s="26" t="s">
        <v>896</v>
      </c>
      <c r="D25" s="26" t="s">
        <v>248</v>
      </c>
      <c r="E25" s="26" t="s">
        <v>1132</v>
      </c>
      <c r="F25" s="26" t="s">
        <v>1058</v>
      </c>
      <c r="G25" s="26" t="s">
        <v>1057</v>
      </c>
      <c r="H25" s="26" t="s">
        <v>1058</v>
      </c>
      <c r="I25" s="26" t="s">
        <v>1124</v>
      </c>
      <c r="J25" s="26">
        <v>32000.0</v>
      </c>
      <c r="K25" s="26">
        <v>0.0</v>
      </c>
      <c r="L25" s="26">
        <v>32000.0</v>
      </c>
      <c r="M25" s="26">
        <v>6.3</v>
      </c>
      <c r="AF25" s="26">
        <v>4.0</v>
      </c>
      <c r="AG25" s="26">
        <v>0.3</v>
      </c>
      <c r="AH25" s="26">
        <v>0.7</v>
      </c>
      <c r="AI25" s="26">
        <v>6.3</v>
      </c>
      <c r="AJ25" s="26">
        <v>0.4</v>
      </c>
      <c r="AK25" s="26">
        <v>1.4</v>
      </c>
    </row>
    <row r="26" ht="14.25" customHeight="1">
      <c r="A26" s="26" t="s">
        <v>1057</v>
      </c>
      <c r="B26" s="26" t="s">
        <v>894</v>
      </c>
      <c r="C26" s="26" t="s">
        <v>896</v>
      </c>
      <c r="D26" s="26" t="s">
        <v>248</v>
      </c>
      <c r="E26" s="26" t="s">
        <v>1133</v>
      </c>
      <c r="F26" s="26" t="s">
        <v>1058</v>
      </c>
      <c r="G26" s="26" t="s">
        <v>1057</v>
      </c>
      <c r="H26" s="26" t="s">
        <v>1058</v>
      </c>
      <c r="I26" s="26" t="s">
        <v>1124</v>
      </c>
      <c r="J26" s="26">
        <v>32000.0</v>
      </c>
      <c r="K26" s="26">
        <v>0.0</v>
      </c>
      <c r="L26" s="26">
        <v>32000.0</v>
      </c>
      <c r="M26" s="26">
        <v>6.3</v>
      </c>
      <c r="AF26" s="26">
        <v>4.0</v>
      </c>
      <c r="AG26" s="26">
        <v>0.3</v>
      </c>
      <c r="AH26" s="26">
        <v>0.7</v>
      </c>
      <c r="AI26" s="26">
        <v>6.3</v>
      </c>
      <c r="AJ26" s="26">
        <v>0.4</v>
      </c>
      <c r="AK26" s="26">
        <v>1.4</v>
      </c>
    </row>
    <row r="27" ht="14.25" customHeight="1">
      <c r="A27" s="26" t="s">
        <v>1057</v>
      </c>
      <c r="B27" s="26" t="s">
        <v>894</v>
      </c>
      <c r="C27" s="26" t="s">
        <v>896</v>
      </c>
      <c r="D27" s="26" t="s">
        <v>248</v>
      </c>
      <c r="E27" s="26" t="s">
        <v>1134</v>
      </c>
      <c r="F27" s="26" t="s">
        <v>1058</v>
      </c>
      <c r="G27" s="26" t="s">
        <v>1057</v>
      </c>
      <c r="H27" s="26" t="s">
        <v>1058</v>
      </c>
      <c r="I27" s="26" t="s">
        <v>1135</v>
      </c>
      <c r="J27" s="26">
        <v>-1.0</v>
      </c>
      <c r="K27" s="26">
        <v>0.0</v>
      </c>
      <c r="L27" s="26">
        <v>-1.0</v>
      </c>
      <c r="M27" s="26">
        <v>6.0</v>
      </c>
      <c r="N27" s="26">
        <v>32000.0</v>
      </c>
      <c r="O27" s="26">
        <v>11.0</v>
      </c>
      <c r="AF27" s="26">
        <v>11.0</v>
      </c>
      <c r="AG27" s="26">
        <v>0.6</v>
      </c>
      <c r="AH27" s="26">
        <v>0.6</v>
      </c>
    </row>
    <row r="28" ht="14.25" customHeight="1">
      <c r="A28" s="26" t="s">
        <v>1057</v>
      </c>
      <c r="B28" s="26" t="s">
        <v>894</v>
      </c>
      <c r="C28" s="26" t="s">
        <v>896</v>
      </c>
      <c r="D28" s="26" t="s">
        <v>248</v>
      </c>
      <c r="E28" s="26" t="s">
        <v>1136</v>
      </c>
      <c r="F28" s="26" t="s">
        <v>1058</v>
      </c>
      <c r="G28" s="26" t="s">
        <v>1057</v>
      </c>
      <c r="H28" s="26" t="s">
        <v>1058</v>
      </c>
      <c r="I28" s="26" t="s">
        <v>1135</v>
      </c>
      <c r="J28" s="26">
        <v>-1.0</v>
      </c>
      <c r="K28" s="26">
        <v>0.0</v>
      </c>
      <c r="L28" s="26">
        <v>-1.0</v>
      </c>
      <c r="M28" s="26">
        <v>6.0</v>
      </c>
      <c r="N28" s="26">
        <v>32000.0</v>
      </c>
      <c r="O28" s="26">
        <v>10.5</v>
      </c>
      <c r="AF28" s="26">
        <v>11.5</v>
      </c>
      <c r="AG28" s="26">
        <v>0.6</v>
      </c>
      <c r="AH28" s="26">
        <v>0.4</v>
      </c>
    </row>
    <row r="29" ht="14.25" customHeight="1">
      <c r="A29" s="26" t="s">
        <v>1057</v>
      </c>
      <c r="B29" s="26" t="s">
        <v>894</v>
      </c>
      <c r="C29" s="26" t="s">
        <v>896</v>
      </c>
      <c r="D29" s="26" t="s">
        <v>248</v>
      </c>
      <c r="E29" s="26" t="s">
        <v>1137</v>
      </c>
      <c r="F29" s="26" t="s">
        <v>1058</v>
      </c>
      <c r="G29" s="26" t="s">
        <v>1057</v>
      </c>
      <c r="H29" s="26" t="s">
        <v>1058</v>
      </c>
      <c r="I29" s="26" t="s">
        <v>1135</v>
      </c>
      <c r="J29" s="26">
        <v>-1.0</v>
      </c>
      <c r="K29" s="26">
        <v>0.0</v>
      </c>
      <c r="L29" s="26">
        <v>-1.0</v>
      </c>
      <c r="M29" s="26">
        <v>8.7</v>
      </c>
      <c r="N29" s="26">
        <v>32000.0</v>
      </c>
      <c r="O29" s="26">
        <v>11.5</v>
      </c>
      <c r="AF29" s="26">
        <v>11.5</v>
      </c>
      <c r="AG29" s="26">
        <v>0.6</v>
      </c>
      <c r="AH29" s="26">
        <v>0.6</v>
      </c>
    </row>
    <row r="30" ht="14.25" customHeight="1">
      <c r="A30" s="26" t="s">
        <v>1057</v>
      </c>
      <c r="B30" s="26" t="s">
        <v>894</v>
      </c>
      <c r="C30" s="26" t="s">
        <v>896</v>
      </c>
      <c r="D30" s="26" t="s">
        <v>248</v>
      </c>
      <c r="E30" s="26" t="s">
        <v>1140</v>
      </c>
      <c r="F30" s="26" t="s">
        <v>1058</v>
      </c>
      <c r="G30" s="26" t="s">
        <v>1057</v>
      </c>
      <c r="H30" s="26" t="s">
        <v>1058</v>
      </c>
      <c r="I30" s="26" t="s">
        <v>1141</v>
      </c>
      <c r="J30" s="26">
        <v>-10000.0</v>
      </c>
      <c r="K30" s="26">
        <v>0.0</v>
      </c>
      <c r="L30" s="26">
        <v>-10000.0</v>
      </c>
      <c r="M30" s="26">
        <v>70.0</v>
      </c>
      <c r="N30" s="26">
        <v>-1.0</v>
      </c>
      <c r="O30" s="26">
        <v>151.0</v>
      </c>
      <c r="P30" s="26">
        <v>22000.0</v>
      </c>
      <c r="Q30" s="26">
        <v>169.0</v>
      </c>
      <c r="AF30" s="26">
        <v>169.0</v>
      </c>
      <c r="AG30" s="26">
        <v>1.2</v>
      </c>
      <c r="AH30" s="26">
        <v>1.2</v>
      </c>
    </row>
    <row r="31" ht="14.25" customHeight="1">
      <c r="A31" s="26" t="s">
        <v>1057</v>
      </c>
      <c r="B31" s="26" t="s">
        <v>894</v>
      </c>
      <c r="C31" s="26" t="s">
        <v>896</v>
      </c>
      <c r="D31" s="26" t="s">
        <v>248</v>
      </c>
      <c r="E31" s="26" t="s">
        <v>1143</v>
      </c>
      <c r="F31" s="26" t="s">
        <v>1058</v>
      </c>
      <c r="G31" s="26" t="s">
        <v>1057</v>
      </c>
      <c r="H31" s="26" t="s">
        <v>1058</v>
      </c>
      <c r="I31" s="26" t="s">
        <v>1113</v>
      </c>
      <c r="J31" s="26">
        <v>32000.0</v>
      </c>
      <c r="K31" s="26">
        <v>0.0</v>
      </c>
      <c r="L31" s="26">
        <v>32000.0</v>
      </c>
      <c r="M31" s="26">
        <v>19.3</v>
      </c>
      <c r="AF31" s="26">
        <v>20.0</v>
      </c>
      <c r="AG31" s="26">
        <v>2642.4</v>
      </c>
      <c r="AH31" s="26">
        <v>2642.4</v>
      </c>
    </row>
    <row r="32" ht="14.25" customHeight="1">
      <c r="A32" s="26" t="s">
        <v>1057</v>
      </c>
      <c r="B32" s="26" t="s">
        <v>894</v>
      </c>
      <c r="C32" s="26" t="s">
        <v>896</v>
      </c>
      <c r="D32" s="26" t="s">
        <v>248</v>
      </c>
      <c r="E32" s="26" t="s">
        <v>1144</v>
      </c>
      <c r="F32" s="26" t="s">
        <v>1058</v>
      </c>
      <c r="G32" s="26" t="s">
        <v>1057</v>
      </c>
      <c r="H32" s="26" t="s">
        <v>1058</v>
      </c>
      <c r="I32" s="26" t="s">
        <v>1117</v>
      </c>
      <c r="J32" s="26">
        <v>-10000.0</v>
      </c>
      <c r="K32" s="26">
        <v>0.0</v>
      </c>
      <c r="L32" s="26">
        <v>-10000.0</v>
      </c>
      <c r="M32" s="26">
        <v>67.0</v>
      </c>
      <c r="N32" s="26">
        <v>3370.0</v>
      </c>
      <c r="O32" s="26">
        <v>83.6</v>
      </c>
      <c r="AF32" s="26">
        <v>45.3</v>
      </c>
      <c r="AG32" s="26">
        <v>1.0</v>
      </c>
      <c r="AH32" s="26">
        <v>1.0</v>
      </c>
      <c r="AI32" s="26">
        <v>83.6</v>
      </c>
      <c r="AJ32" s="26">
        <v>1.0</v>
      </c>
      <c r="AK32" s="26">
        <v>1.0</v>
      </c>
    </row>
    <row r="33" ht="14.25" customHeight="1">
      <c r="A33" s="26" t="s">
        <v>1057</v>
      </c>
      <c r="B33" s="26" t="s">
        <v>894</v>
      </c>
      <c r="C33" s="26" t="s">
        <v>896</v>
      </c>
      <c r="D33" s="26" t="s">
        <v>102</v>
      </c>
      <c r="E33" s="26" t="s">
        <v>1145</v>
      </c>
      <c r="F33" s="26" t="s">
        <v>1058</v>
      </c>
      <c r="G33" s="26" t="s">
        <v>1057</v>
      </c>
      <c r="H33" s="26" t="s">
        <v>1058</v>
      </c>
      <c r="I33" s="26" t="s">
        <v>1146</v>
      </c>
      <c r="J33" s="26">
        <v>32000.0</v>
      </c>
      <c r="K33" s="26">
        <v>0.0</v>
      </c>
      <c r="L33" s="26">
        <v>32000.0</v>
      </c>
      <c r="M33" s="26">
        <v>4.4</v>
      </c>
      <c r="AF33" s="26">
        <v>4.4</v>
      </c>
      <c r="AG33" s="26">
        <v>0.2</v>
      </c>
      <c r="AH33" s="26">
        <v>0.2</v>
      </c>
    </row>
    <row r="34" ht="14.25" customHeight="1">
      <c r="A34" s="26" t="s">
        <v>1057</v>
      </c>
      <c r="B34" s="26" t="s">
        <v>894</v>
      </c>
      <c r="C34" s="26" t="s">
        <v>896</v>
      </c>
      <c r="D34" s="26" t="s">
        <v>102</v>
      </c>
      <c r="E34" s="26" t="s">
        <v>1147</v>
      </c>
      <c r="F34" s="26" t="s">
        <v>1058</v>
      </c>
      <c r="G34" s="26" t="s">
        <v>1057</v>
      </c>
      <c r="H34" s="26" t="s">
        <v>1058</v>
      </c>
      <c r="I34" s="26" t="s">
        <v>1146</v>
      </c>
      <c r="J34" s="26">
        <v>32000.0</v>
      </c>
      <c r="K34" s="26">
        <v>0.0</v>
      </c>
      <c r="L34" s="26">
        <v>32000.0</v>
      </c>
      <c r="M34" s="26">
        <v>4.4</v>
      </c>
      <c r="AF34" s="26">
        <v>4.4</v>
      </c>
      <c r="AG34" s="26">
        <v>0.2</v>
      </c>
      <c r="AH34" s="26">
        <v>0.2</v>
      </c>
    </row>
    <row r="35" ht="14.25" customHeight="1">
      <c r="A35" s="26" t="s">
        <v>1057</v>
      </c>
      <c r="B35" s="26" t="s">
        <v>894</v>
      </c>
      <c r="C35" s="26" t="s">
        <v>896</v>
      </c>
      <c r="D35" s="26" t="s">
        <v>102</v>
      </c>
      <c r="E35" s="26" t="s">
        <v>1148</v>
      </c>
      <c r="F35" s="26" t="s">
        <v>1058</v>
      </c>
      <c r="G35" s="26" t="s">
        <v>1057</v>
      </c>
      <c r="H35" s="26" t="s">
        <v>1058</v>
      </c>
      <c r="I35" s="26" t="s">
        <v>1146</v>
      </c>
      <c r="J35" s="26">
        <v>32000.0</v>
      </c>
      <c r="K35" s="26">
        <v>0.0</v>
      </c>
      <c r="L35" s="26">
        <v>32000.0</v>
      </c>
      <c r="M35" s="26">
        <v>4.4</v>
      </c>
      <c r="AF35" s="26">
        <v>4.4</v>
      </c>
      <c r="AG35" s="26">
        <v>0.2</v>
      </c>
      <c r="AH35" s="26">
        <v>0.2</v>
      </c>
    </row>
    <row r="36" ht="14.25" customHeight="1">
      <c r="A36" s="26" t="s">
        <v>1057</v>
      </c>
      <c r="B36" s="26" t="s">
        <v>894</v>
      </c>
      <c r="C36" s="26" t="s">
        <v>896</v>
      </c>
      <c r="D36" s="26" t="s">
        <v>102</v>
      </c>
      <c r="E36" s="26" t="s">
        <v>1149</v>
      </c>
      <c r="F36" s="26" t="s">
        <v>1058</v>
      </c>
      <c r="G36" s="26" t="s">
        <v>1057</v>
      </c>
      <c r="H36" s="26" t="s">
        <v>1058</v>
      </c>
      <c r="I36" s="26" t="s">
        <v>1146</v>
      </c>
      <c r="J36" s="26">
        <v>32000.0</v>
      </c>
      <c r="K36" s="26">
        <v>0.0</v>
      </c>
      <c r="L36" s="26">
        <v>32000.0</v>
      </c>
      <c r="M36" s="26">
        <v>6.5</v>
      </c>
      <c r="AF36" s="26">
        <v>6.5</v>
      </c>
      <c r="AG36" s="26">
        <v>0.4</v>
      </c>
      <c r="AH36" s="26">
        <v>0.4</v>
      </c>
    </row>
    <row r="37" ht="14.25" customHeight="1">
      <c r="A37" s="26" t="s">
        <v>1057</v>
      </c>
      <c r="B37" s="26" t="s">
        <v>894</v>
      </c>
      <c r="C37" s="26" t="s">
        <v>896</v>
      </c>
      <c r="D37" s="26" t="s">
        <v>102</v>
      </c>
      <c r="E37" s="26" t="s">
        <v>1150</v>
      </c>
      <c r="F37" s="26" t="s">
        <v>1058</v>
      </c>
      <c r="G37" s="26" t="s">
        <v>1057</v>
      </c>
      <c r="H37" s="26" t="s">
        <v>1058</v>
      </c>
      <c r="I37" s="26" t="s">
        <v>1146</v>
      </c>
      <c r="J37" s="26">
        <v>32000.0</v>
      </c>
      <c r="K37" s="26">
        <v>0.0</v>
      </c>
      <c r="L37" s="26">
        <v>32000.0</v>
      </c>
      <c r="M37" s="26">
        <v>6.5</v>
      </c>
      <c r="AF37" s="26">
        <v>6.5</v>
      </c>
      <c r="AG37" s="26">
        <v>0.4</v>
      </c>
      <c r="AH37" s="26">
        <v>0.4</v>
      </c>
    </row>
    <row r="38" ht="14.25" customHeight="1">
      <c r="A38" s="26" t="s">
        <v>1057</v>
      </c>
      <c r="B38" s="26" t="s">
        <v>894</v>
      </c>
      <c r="C38" s="26" t="s">
        <v>896</v>
      </c>
      <c r="D38" s="26" t="s">
        <v>102</v>
      </c>
      <c r="E38" s="26" t="s">
        <v>1151</v>
      </c>
      <c r="F38" s="26" t="s">
        <v>1058</v>
      </c>
      <c r="G38" s="26" t="s">
        <v>1057</v>
      </c>
      <c r="H38" s="26" t="s">
        <v>1058</v>
      </c>
      <c r="I38" s="26" t="s">
        <v>1152</v>
      </c>
      <c r="J38" s="26">
        <v>-10000.0</v>
      </c>
      <c r="K38" s="26">
        <v>-30.0</v>
      </c>
      <c r="L38" s="26">
        <v>-10000.0</v>
      </c>
      <c r="M38" s="26">
        <v>0.0</v>
      </c>
      <c r="N38" s="26">
        <v>32000.0</v>
      </c>
      <c r="O38" s="26">
        <v>30.0</v>
      </c>
      <c r="AF38" s="26">
        <v>30.0</v>
      </c>
      <c r="AG38" s="26">
        <v>150.0</v>
      </c>
      <c r="AH38" s="26">
        <v>150.0</v>
      </c>
    </row>
    <row r="39" ht="14.25" customHeight="1">
      <c r="A39" s="26" t="s">
        <v>1057</v>
      </c>
      <c r="B39" s="26" t="s">
        <v>894</v>
      </c>
      <c r="C39" s="26" t="s">
        <v>896</v>
      </c>
      <c r="D39" s="26" t="s">
        <v>102</v>
      </c>
      <c r="E39" s="26" t="s">
        <v>1153</v>
      </c>
      <c r="F39" s="26" t="s">
        <v>1058</v>
      </c>
      <c r="G39" s="26" t="s">
        <v>1057</v>
      </c>
      <c r="H39" s="26" t="s">
        <v>1058</v>
      </c>
      <c r="I39" s="26" t="s">
        <v>1154</v>
      </c>
      <c r="J39" s="26">
        <v>-10000.0</v>
      </c>
      <c r="K39" s="26">
        <v>0.0</v>
      </c>
      <c r="L39" s="26">
        <v>-10000.0</v>
      </c>
      <c r="M39" s="26">
        <v>22.9</v>
      </c>
      <c r="N39" s="26">
        <v>0.0</v>
      </c>
      <c r="O39" s="26">
        <v>35.2</v>
      </c>
      <c r="AF39" s="26">
        <v>35.2</v>
      </c>
      <c r="AG39" s="26">
        <v>4.7</v>
      </c>
      <c r="AH39" s="26">
        <v>4.8</v>
      </c>
    </row>
    <row r="40" ht="14.25" customHeight="1">
      <c r="A40" s="26" t="s">
        <v>1057</v>
      </c>
      <c r="B40" s="26" t="s">
        <v>894</v>
      </c>
      <c r="C40" s="26" t="s">
        <v>896</v>
      </c>
      <c r="D40" s="26" t="s">
        <v>102</v>
      </c>
      <c r="E40" s="26" t="s">
        <v>1155</v>
      </c>
      <c r="F40" s="26" t="s">
        <v>1058</v>
      </c>
      <c r="G40" s="26" t="s">
        <v>1057</v>
      </c>
      <c r="H40" s="26" t="s">
        <v>1058</v>
      </c>
      <c r="I40" s="26" t="s">
        <v>1154</v>
      </c>
      <c r="J40" s="26">
        <v>-10000.0</v>
      </c>
      <c r="K40" s="26">
        <v>0.0</v>
      </c>
      <c r="L40" s="26">
        <v>-10000.0</v>
      </c>
      <c r="M40" s="26">
        <v>15.0</v>
      </c>
      <c r="AF40" s="26">
        <v>34.8</v>
      </c>
      <c r="AG40" s="26">
        <v>5.0</v>
      </c>
      <c r="AH40" s="26">
        <v>5.0</v>
      </c>
    </row>
    <row r="41" ht="14.25" customHeight="1">
      <c r="A41" s="26" t="s">
        <v>1057</v>
      </c>
      <c r="B41" s="26" t="s">
        <v>894</v>
      </c>
      <c r="C41" s="26" t="s">
        <v>896</v>
      </c>
      <c r="D41" s="26" t="s">
        <v>102</v>
      </c>
      <c r="E41" s="26" t="s">
        <v>1157</v>
      </c>
      <c r="F41" s="26" t="s">
        <v>1058</v>
      </c>
      <c r="G41" s="26" t="s">
        <v>1057</v>
      </c>
      <c r="H41" s="26" t="s">
        <v>1058</v>
      </c>
      <c r="I41" s="26" t="s">
        <v>1154</v>
      </c>
      <c r="J41" s="26">
        <v>-10000.0</v>
      </c>
      <c r="K41" s="26">
        <v>0.0</v>
      </c>
      <c r="L41" s="26">
        <v>-10000.0</v>
      </c>
      <c r="M41" s="26">
        <v>8.9</v>
      </c>
      <c r="N41" s="26">
        <v>32000.0</v>
      </c>
      <c r="O41" s="26">
        <v>18.8</v>
      </c>
      <c r="AF41" s="26">
        <v>18.8</v>
      </c>
      <c r="AG41" s="26">
        <v>2.9</v>
      </c>
      <c r="AH41" s="26">
        <v>2.9</v>
      </c>
    </row>
    <row r="42" ht="14.25" customHeight="1">
      <c r="A42" s="26" t="s">
        <v>1057</v>
      </c>
      <c r="B42" s="26" t="s">
        <v>894</v>
      </c>
      <c r="C42" s="26" t="s">
        <v>896</v>
      </c>
      <c r="D42" s="26" t="s">
        <v>102</v>
      </c>
      <c r="E42" s="26" t="s">
        <v>1158</v>
      </c>
      <c r="F42" s="26" t="s">
        <v>1058</v>
      </c>
      <c r="G42" s="26" t="s">
        <v>1057</v>
      </c>
      <c r="H42" s="26" t="s">
        <v>1058</v>
      </c>
      <c r="I42" s="26" t="s">
        <v>1154</v>
      </c>
      <c r="J42" s="26">
        <v>-10000.0</v>
      </c>
      <c r="K42" s="26">
        <v>0.0</v>
      </c>
      <c r="L42" s="26">
        <v>-10000.0</v>
      </c>
      <c r="M42" s="26">
        <v>9.2</v>
      </c>
      <c r="N42" s="26">
        <v>32000.0</v>
      </c>
      <c r="O42" s="26">
        <v>18.9</v>
      </c>
      <c r="AF42" s="26">
        <v>18.9</v>
      </c>
      <c r="AG42" s="26">
        <v>2.8</v>
      </c>
      <c r="AH42" s="26">
        <v>2.9</v>
      </c>
    </row>
    <row r="43" ht="14.25" customHeight="1">
      <c r="A43" s="26" t="s">
        <v>1057</v>
      </c>
      <c r="B43" s="26" t="s">
        <v>894</v>
      </c>
      <c r="C43" s="26" t="s">
        <v>896</v>
      </c>
      <c r="D43" s="26" t="s">
        <v>102</v>
      </c>
      <c r="E43" s="26" t="s">
        <v>1159</v>
      </c>
      <c r="F43" s="26" t="s">
        <v>1058</v>
      </c>
      <c r="G43" s="26" t="s">
        <v>1057</v>
      </c>
      <c r="H43" s="26" t="s">
        <v>1058</v>
      </c>
      <c r="I43" s="26" t="s">
        <v>1154</v>
      </c>
      <c r="J43" s="26">
        <v>-10000.0</v>
      </c>
      <c r="K43" s="26">
        <v>0.0</v>
      </c>
      <c r="L43" s="26">
        <v>-10000.0</v>
      </c>
      <c r="M43" s="26">
        <v>8.9</v>
      </c>
      <c r="N43" s="26">
        <v>0.0</v>
      </c>
      <c r="O43" s="26">
        <v>18.9</v>
      </c>
      <c r="AF43" s="26">
        <v>18.9</v>
      </c>
      <c r="AG43" s="26">
        <v>2.3</v>
      </c>
      <c r="AH43" s="26">
        <v>2.1</v>
      </c>
    </row>
    <row r="44" ht="14.25" customHeight="1">
      <c r="A44" s="26" t="s">
        <v>1057</v>
      </c>
      <c r="B44" s="26" t="s">
        <v>894</v>
      </c>
      <c r="C44" s="26" t="s">
        <v>896</v>
      </c>
      <c r="D44" s="26" t="s">
        <v>102</v>
      </c>
      <c r="E44" s="26" t="s">
        <v>1160</v>
      </c>
      <c r="F44" s="26" t="s">
        <v>1058</v>
      </c>
      <c r="G44" s="26" t="s">
        <v>1057</v>
      </c>
      <c r="H44" s="26" t="s">
        <v>1058</v>
      </c>
      <c r="I44" s="26" t="s">
        <v>1115</v>
      </c>
      <c r="J44" s="26">
        <v>-10000.0</v>
      </c>
      <c r="K44" s="26">
        <v>-10.0</v>
      </c>
      <c r="L44" s="26">
        <v>-10000.0</v>
      </c>
      <c r="M44" s="26">
        <v>0.0</v>
      </c>
      <c r="N44" s="26">
        <v>32000.0</v>
      </c>
      <c r="O44" s="26">
        <v>10.0</v>
      </c>
      <c r="AF44" s="26">
        <v>10.0</v>
      </c>
      <c r="AG44" s="26">
        <v>800.0</v>
      </c>
      <c r="AH44" s="26">
        <v>800.0</v>
      </c>
    </row>
    <row r="45" ht="14.25" customHeight="1">
      <c r="A45" s="26" t="s">
        <v>1057</v>
      </c>
      <c r="B45" s="26" t="s">
        <v>894</v>
      </c>
      <c r="C45" s="26" t="s">
        <v>896</v>
      </c>
      <c r="D45" s="26" t="s">
        <v>315</v>
      </c>
      <c r="E45" s="26" t="s">
        <v>1161</v>
      </c>
      <c r="F45" s="26" t="s">
        <v>1058</v>
      </c>
      <c r="G45" s="26" t="s">
        <v>1057</v>
      </c>
      <c r="H45" s="26" t="s">
        <v>1058</v>
      </c>
      <c r="I45" s="26" t="s">
        <v>1162</v>
      </c>
      <c r="J45" s="26">
        <v>32000.0</v>
      </c>
      <c r="K45" s="26">
        <v>0.0</v>
      </c>
      <c r="L45" s="26">
        <v>32000.0</v>
      </c>
      <c r="M45" s="26">
        <v>4.0</v>
      </c>
      <c r="AF45" s="26">
        <v>4.0</v>
      </c>
      <c r="AG45" s="26">
        <v>0.4</v>
      </c>
      <c r="AH45" s="26">
        <v>0.4</v>
      </c>
    </row>
    <row r="46" ht="14.25" customHeight="1">
      <c r="A46" s="26" t="s">
        <v>1057</v>
      </c>
      <c r="B46" s="26" t="s">
        <v>894</v>
      </c>
      <c r="C46" s="26" t="s">
        <v>896</v>
      </c>
      <c r="D46" s="26" t="s">
        <v>315</v>
      </c>
      <c r="E46" s="26" t="s">
        <v>1163</v>
      </c>
      <c r="F46" s="26" t="s">
        <v>1058</v>
      </c>
      <c r="G46" s="26" t="s">
        <v>1057</v>
      </c>
      <c r="H46" s="26" t="s">
        <v>1058</v>
      </c>
      <c r="I46" s="26" t="s">
        <v>1162</v>
      </c>
      <c r="J46" s="26">
        <v>30880.0</v>
      </c>
      <c r="K46" s="26">
        <v>0.0</v>
      </c>
      <c r="L46" s="26">
        <v>30880.0</v>
      </c>
      <c r="M46" s="26">
        <v>4.0</v>
      </c>
      <c r="AF46" s="26">
        <v>4.0</v>
      </c>
      <c r="AG46" s="26">
        <v>0.4</v>
      </c>
      <c r="AH46" s="26">
        <v>0.4</v>
      </c>
    </row>
    <row r="47" ht="14.25" customHeight="1">
      <c r="A47" s="26" t="s">
        <v>1057</v>
      </c>
      <c r="B47" s="26" t="s">
        <v>894</v>
      </c>
      <c r="C47" s="26" t="s">
        <v>896</v>
      </c>
      <c r="D47" s="26" t="s">
        <v>315</v>
      </c>
      <c r="E47" s="26" t="s">
        <v>1164</v>
      </c>
      <c r="F47" s="26" t="s">
        <v>1058</v>
      </c>
      <c r="G47" s="26" t="s">
        <v>1057</v>
      </c>
      <c r="H47" s="26" t="s">
        <v>1058</v>
      </c>
      <c r="I47" s="26" t="s">
        <v>1162</v>
      </c>
      <c r="J47" s="26">
        <v>30780.0</v>
      </c>
      <c r="K47" s="26">
        <v>0.0</v>
      </c>
      <c r="L47" s="26">
        <v>30780.0</v>
      </c>
      <c r="M47" s="26">
        <v>4.2</v>
      </c>
      <c r="AF47" s="26">
        <v>4.2</v>
      </c>
      <c r="AG47" s="26">
        <v>0.4</v>
      </c>
      <c r="AH47" s="26">
        <v>0.4</v>
      </c>
    </row>
    <row r="48" ht="14.25" customHeight="1">
      <c r="A48" s="26" t="s">
        <v>1057</v>
      </c>
      <c r="B48" s="26" t="s">
        <v>894</v>
      </c>
      <c r="C48" s="26" t="s">
        <v>896</v>
      </c>
      <c r="D48" s="26" t="s">
        <v>315</v>
      </c>
      <c r="E48" s="26" t="s">
        <v>1165</v>
      </c>
      <c r="F48" s="26" t="s">
        <v>1058</v>
      </c>
      <c r="G48" s="26" t="s">
        <v>1057</v>
      </c>
      <c r="H48" s="26" t="s">
        <v>1058</v>
      </c>
      <c r="I48" s="26" t="s">
        <v>1162</v>
      </c>
      <c r="J48" s="26">
        <v>30680.0</v>
      </c>
      <c r="K48" s="26">
        <v>0.0</v>
      </c>
      <c r="L48" s="26">
        <v>30680.0</v>
      </c>
      <c r="M48" s="26">
        <v>4.0</v>
      </c>
      <c r="AF48" s="26">
        <v>4.0</v>
      </c>
      <c r="AG48" s="26">
        <v>0.4</v>
      </c>
      <c r="AH48" s="26">
        <v>0.4</v>
      </c>
    </row>
    <row r="49" ht="14.25" customHeight="1">
      <c r="A49" s="26" t="s">
        <v>1057</v>
      </c>
      <c r="B49" s="26" t="s">
        <v>894</v>
      </c>
      <c r="C49" s="26" t="s">
        <v>896</v>
      </c>
      <c r="D49" s="26" t="s">
        <v>315</v>
      </c>
      <c r="E49" s="26" t="s">
        <v>1166</v>
      </c>
      <c r="F49" s="26" t="s">
        <v>1058</v>
      </c>
      <c r="G49" s="26" t="s">
        <v>1057</v>
      </c>
      <c r="H49" s="26" t="s">
        <v>1058</v>
      </c>
      <c r="I49" s="26" t="s">
        <v>1167</v>
      </c>
      <c r="J49" s="26">
        <v>32000.0</v>
      </c>
      <c r="K49" s="26">
        <v>0.0</v>
      </c>
      <c r="L49" s="26">
        <v>32000.0</v>
      </c>
      <c r="M49" s="26">
        <v>54.0</v>
      </c>
      <c r="AF49" s="26">
        <v>54.0</v>
      </c>
      <c r="AG49" s="26">
        <v>0.3</v>
      </c>
      <c r="AH49" s="26">
        <v>0.6</v>
      </c>
    </row>
    <row r="50" ht="14.25" customHeight="1">
      <c r="A50" s="26" t="s">
        <v>1057</v>
      </c>
      <c r="B50" s="26" t="s">
        <v>894</v>
      </c>
      <c r="C50" s="26" t="s">
        <v>896</v>
      </c>
      <c r="D50" s="26" t="s">
        <v>315</v>
      </c>
      <c r="E50" s="26" t="s">
        <v>1168</v>
      </c>
      <c r="F50" s="26" t="s">
        <v>1058</v>
      </c>
      <c r="G50" s="26" t="s">
        <v>1057</v>
      </c>
      <c r="H50" s="26" t="s">
        <v>1058</v>
      </c>
      <c r="I50" s="26" t="s">
        <v>1169</v>
      </c>
      <c r="J50" s="26">
        <v>30700.0</v>
      </c>
      <c r="K50" s="26">
        <v>0.0</v>
      </c>
      <c r="L50" s="26">
        <v>30700.0</v>
      </c>
      <c r="M50" s="26">
        <v>7.0</v>
      </c>
      <c r="AF50" s="26">
        <v>7.0</v>
      </c>
      <c r="AG50" s="26">
        <v>0.5</v>
      </c>
      <c r="AH50" s="26">
        <v>0.5</v>
      </c>
    </row>
    <row r="51" ht="14.25" customHeight="1">
      <c r="A51" s="26" t="s">
        <v>1057</v>
      </c>
      <c r="B51" s="26" t="s">
        <v>894</v>
      </c>
      <c r="C51" s="26" t="s">
        <v>896</v>
      </c>
      <c r="D51" s="26" t="s">
        <v>315</v>
      </c>
      <c r="E51" s="26" t="s">
        <v>1170</v>
      </c>
      <c r="F51" s="26" t="s">
        <v>1058</v>
      </c>
      <c r="G51" s="26" t="s">
        <v>1057</v>
      </c>
      <c r="H51" s="26" t="s">
        <v>1058</v>
      </c>
      <c r="I51" s="26" t="s">
        <v>1169</v>
      </c>
      <c r="J51" s="26">
        <v>30800.0</v>
      </c>
      <c r="K51" s="26">
        <v>0.0</v>
      </c>
      <c r="L51" s="26">
        <v>30800.0</v>
      </c>
      <c r="M51" s="26">
        <v>7.0</v>
      </c>
      <c r="AF51" s="26">
        <v>7.0</v>
      </c>
      <c r="AG51" s="26">
        <v>0.5</v>
      </c>
      <c r="AH51" s="26">
        <v>0.5</v>
      </c>
    </row>
    <row r="52" ht="14.25" customHeight="1">
      <c r="A52" s="26" t="s">
        <v>1057</v>
      </c>
      <c r="B52" s="26" t="s">
        <v>894</v>
      </c>
      <c r="C52" s="26" t="s">
        <v>896</v>
      </c>
      <c r="D52" s="26" t="s">
        <v>315</v>
      </c>
      <c r="E52" s="26" t="s">
        <v>1171</v>
      </c>
      <c r="F52" s="26" t="s">
        <v>1058</v>
      </c>
      <c r="G52" s="26" t="s">
        <v>1057</v>
      </c>
      <c r="H52" s="26" t="s">
        <v>1058</v>
      </c>
      <c r="I52" s="26" t="s">
        <v>1169</v>
      </c>
      <c r="J52" s="26">
        <v>30900.0</v>
      </c>
      <c r="K52" s="26">
        <v>0.0</v>
      </c>
      <c r="L52" s="26">
        <v>30900.0</v>
      </c>
      <c r="M52" s="26">
        <v>7.0</v>
      </c>
      <c r="AF52" s="26">
        <v>7.0</v>
      </c>
      <c r="AG52" s="26">
        <v>0.5</v>
      </c>
      <c r="AH52" s="26">
        <v>0.5</v>
      </c>
    </row>
    <row r="53" ht="14.25" customHeight="1">
      <c r="A53" s="26" t="s">
        <v>1057</v>
      </c>
      <c r="B53" s="26" t="s">
        <v>894</v>
      </c>
      <c r="C53" s="26" t="s">
        <v>896</v>
      </c>
      <c r="D53" s="26" t="s">
        <v>315</v>
      </c>
      <c r="E53" s="26" t="s">
        <v>1172</v>
      </c>
      <c r="F53" s="26" t="s">
        <v>1058</v>
      </c>
      <c r="G53" s="26" t="s">
        <v>1057</v>
      </c>
      <c r="H53" s="26" t="s">
        <v>1058</v>
      </c>
      <c r="I53" s="26" t="s">
        <v>1169</v>
      </c>
      <c r="J53" s="26">
        <v>31000.0</v>
      </c>
      <c r="K53" s="26">
        <v>0.0</v>
      </c>
      <c r="L53" s="26">
        <v>31000.0</v>
      </c>
      <c r="M53" s="26">
        <v>8.0</v>
      </c>
      <c r="AF53" s="26">
        <v>8.0</v>
      </c>
      <c r="AG53" s="26">
        <v>0.7</v>
      </c>
      <c r="AH53" s="26">
        <v>0.6</v>
      </c>
    </row>
    <row r="54" ht="14.25" customHeight="1">
      <c r="A54" s="26" t="s">
        <v>1057</v>
      </c>
      <c r="B54" s="26" t="s">
        <v>894</v>
      </c>
      <c r="C54" s="26" t="s">
        <v>896</v>
      </c>
      <c r="D54" s="26" t="s">
        <v>315</v>
      </c>
      <c r="E54" s="26" t="s">
        <v>1173</v>
      </c>
      <c r="F54" s="26" t="s">
        <v>1058</v>
      </c>
      <c r="G54" s="26" t="s">
        <v>1057</v>
      </c>
      <c r="H54" s="26" t="s">
        <v>1058</v>
      </c>
      <c r="I54" s="26" t="s">
        <v>1113</v>
      </c>
      <c r="J54" s="26">
        <v>32000.0</v>
      </c>
      <c r="K54" s="26">
        <v>0.0</v>
      </c>
      <c r="L54" s="26">
        <v>32000.0</v>
      </c>
      <c r="M54" s="26">
        <v>17.8</v>
      </c>
      <c r="AF54" s="26">
        <v>20.0</v>
      </c>
      <c r="AG54" s="26">
        <v>2300.4</v>
      </c>
      <c r="AH54" s="26">
        <v>2300.4</v>
      </c>
    </row>
    <row r="55" ht="14.25" customHeight="1">
      <c r="A55" s="26" t="s">
        <v>1057</v>
      </c>
      <c r="B55" s="26" t="s">
        <v>894</v>
      </c>
      <c r="C55" s="26" t="s">
        <v>896</v>
      </c>
      <c r="D55" s="26" t="s">
        <v>13</v>
      </c>
      <c r="E55" s="26" t="s">
        <v>1174</v>
      </c>
      <c r="F55" s="26" t="s">
        <v>1058</v>
      </c>
      <c r="G55" s="26" t="s">
        <v>1057</v>
      </c>
      <c r="H55" s="26" t="s">
        <v>1058</v>
      </c>
      <c r="I55" s="26" t="s">
        <v>1175</v>
      </c>
      <c r="J55" s="26">
        <v>32000.0</v>
      </c>
      <c r="K55" s="26">
        <v>0.0</v>
      </c>
      <c r="L55" s="26">
        <v>32000.0</v>
      </c>
      <c r="M55" s="26">
        <v>3.0</v>
      </c>
      <c r="AF55" s="26">
        <v>3.0</v>
      </c>
      <c r="AG55" s="26">
        <v>0.6</v>
      </c>
      <c r="AH55" s="26">
        <v>0.6</v>
      </c>
    </row>
    <row r="56" ht="14.25" customHeight="1">
      <c r="A56" s="26" t="s">
        <v>1057</v>
      </c>
      <c r="B56" s="26" t="s">
        <v>894</v>
      </c>
      <c r="C56" s="26" t="s">
        <v>896</v>
      </c>
      <c r="D56" s="26" t="s">
        <v>13</v>
      </c>
      <c r="E56" s="26" t="s">
        <v>1176</v>
      </c>
      <c r="F56" s="26" t="s">
        <v>1058</v>
      </c>
      <c r="G56" s="26" t="s">
        <v>1057</v>
      </c>
      <c r="H56" s="26" t="s">
        <v>1058</v>
      </c>
      <c r="I56" s="26" t="s">
        <v>1175</v>
      </c>
      <c r="J56" s="26">
        <v>32000.0</v>
      </c>
      <c r="K56" s="26">
        <v>0.0</v>
      </c>
      <c r="L56" s="26">
        <v>32000.0</v>
      </c>
      <c r="M56" s="26">
        <v>3.4</v>
      </c>
      <c r="AF56" s="26">
        <v>3.4</v>
      </c>
      <c r="AG56" s="26">
        <v>0.6</v>
      </c>
      <c r="AH56" s="26">
        <v>0.6</v>
      </c>
    </row>
    <row r="57" ht="14.25" customHeight="1">
      <c r="A57" s="26" t="s">
        <v>1057</v>
      </c>
      <c r="B57" s="26" t="s">
        <v>894</v>
      </c>
      <c r="C57" s="26" t="s">
        <v>896</v>
      </c>
      <c r="D57" s="26" t="s">
        <v>13</v>
      </c>
      <c r="E57" s="26" t="s">
        <v>1177</v>
      </c>
      <c r="F57" s="26" t="s">
        <v>1058</v>
      </c>
      <c r="G57" s="26" t="s">
        <v>1057</v>
      </c>
      <c r="H57" s="26" t="s">
        <v>1058</v>
      </c>
      <c r="I57" s="26" t="s">
        <v>1178</v>
      </c>
      <c r="J57" s="26">
        <v>-10000.0</v>
      </c>
      <c r="K57" s="26">
        <v>0.0</v>
      </c>
      <c r="L57" s="26">
        <v>-10000.0</v>
      </c>
      <c r="M57" s="26">
        <v>60.0</v>
      </c>
      <c r="N57" s="26">
        <v>2691.88</v>
      </c>
      <c r="O57" s="26">
        <v>70.5</v>
      </c>
      <c r="P57" s="26">
        <v>3789.88</v>
      </c>
      <c r="Q57" s="26">
        <v>135.0</v>
      </c>
      <c r="AF57" s="26">
        <v>51.0</v>
      </c>
      <c r="AG57" s="26">
        <v>1.0</v>
      </c>
      <c r="AH57" s="26">
        <v>0.1</v>
      </c>
      <c r="AI57" s="26">
        <v>125.0</v>
      </c>
      <c r="AJ57" s="26">
        <v>1.0</v>
      </c>
      <c r="AK57" s="26">
        <v>0.8</v>
      </c>
      <c r="AL57" s="26">
        <v>135.0</v>
      </c>
      <c r="AM57" s="26">
        <v>0.8</v>
      </c>
      <c r="AN57" s="26">
        <v>0.8</v>
      </c>
    </row>
    <row r="58" ht="14.25" customHeight="1">
      <c r="A58" s="26" t="s">
        <v>1057</v>
      </c>
      <c r="B58" s="26" t="s">
        <v>894</v>
      </c>
      <c r="C58" s="26" t="s">
        <v>896</v>
      </c>
      <c r="D58" s="26" t="s">
        <v>13</v>
      </c>
      <c r="E58" s="26" t="s">
        <v>1179</v>
      </c>
      <c r="F58" s="26" t="s">
        <v>1058</v>
      </c>
      <c r="G58" s="26" t="s">
        <v>1057</v>
      </c>
      <c r="H58" s="26" t="s">
        <v>1058</v>
      </c>
      <c r="I58" s="26" t="s">
        <v>1162</v>
      </c>
      <c r="J58" s="26">
        <v>32000.0</v>
      </c>
      <c r="K58" s="26">
        <v>0.0</v>
      </c>
      <c r="L58" s="26">
        <v>32000.0</v>
      </c>
      <c r="M58" s="26">
        <v>5.0</v>
      </c>
      <c r="AF58" s="26">
        <v>3.0</v>
      </c>
      <c r="AG58" s="26">
        <v>0.4</v>
      </c>
      <c r="AH58" s="26">
        <v>0.4</v>
      </c>
      <c r="AI58" s="26">
        <v>5.0</v>
      </c>
      <c r="AJ58" s="26">
        <v>0.5</v>
      </c>
      <c r="AK58" s="26">
        <v>0.7</v>
      </c>
    </row>
    <row r="59" ht="14.25" customHeight="1">
      <c r="A59" s="26" t="s">
        <v>1057</v>
      </c>
      <c r="B59" s="26" t="s">
        <v>894</v>
      </c>
      <c r="C59" s="26" t="s">
        <v>896</v>
      </c>
      <c r="D59" s="26" t="s">
        <v>13</v>
      </c>
      <c r="E59" s="26" t="s">
        <v>1180</v>
      </c>
      <c r="F59" s="26" t="s">
        <v>1058</v>
      </c>
      <c r="G59" s="26" t="s">
        <v>1057</v>
      </c>
      <c r="H59" s="26" t="s">
        <v>1058</v>
      </c>
      <c r="I59" s="26" t="s">
        <v>1162</v>
      </c>
      <c r="J59" s="26">
        <v>32000.0</v>
      </c>
      <c r="K59" s="26">
        <v>0.0</v>
      </c>
      <c r="L59" s="26">
        <v>32000.0</v>
      </c>
      <c r="M59" s="26">
        <v>5.0</v>
      </c>
      <c r="AF59" s="26">
        <v>3.0</v>
      </c>
      <c r="AG59" s="26">
        <v>0.3</v>
      </c>
      <c r="AH59" s="26">
        <v>0.4</v>
      </c>
      <c r="AI59" s="26">
        <v>5.0</v>
      </c>
      <c r="AJ59" s="26">
        <v>0.5</v>
      </c>
      <c r="AK59" s="26">
        <v>1.2</v>
      </c>
    </row>
    <row r="60" ht="14.25" customHeight="1">
      <c r="A60" s="26" t="s">
        <v>1057</v>
      </c>
      <c r="B60" s="26" t="s">
        <v>894</v>
      </c>
      <c r="C60" s="26" t="s">
        <v>896</v>
      </c>
      <c r="D60" s="26" t="s">
        <v>13</v>
      </c>
      <c r="E60" s="26" t="s">
        <v>1181</v>
      </c>
      <c r="F60" s="26" t="s">
        <v>1058</v>
      </c>
      <c r="G60" s="26" t="s">
        <v>1057</v>
      </c>
      <c r="H60" s="26" t="s">
        <v>1058</v>
      </c>
      <c r="I60" s="26" t="s">
        <v>1162</v>
      </c>
      <c r="J60" s="26">
        <v>32000.0</v>
      </c>
      <c r="K60" s="26">
        <v>0.0</v>
      </c>
      <c r="L60" s="26">
        <v>32000.0</v>
      </c>
      <c r="M60" s="26">
        <v>12.0</v>
      </c>
      <c r="AF60" s="26">
        <v>12.0</v>
      </c>
      <c r="AG60" s="26">
        <v>1.3</v>
      </c>
      <c r="AH60" s="26">
        <v>1.3</v>
      </c>
    </row>
    <row r="61" ht="14.25" customHeight="1">
      <c r="A61" s="26" t="s">
        <v>1057</v>
      </c>
      <c r="B61" s="26" t="s">
        <v>894</v>
      </c>
      <c r="C61" s="26" t="s">
        <v>896</v>
      </c>
      <c r="D61" s="26" t="s">
        <v>13</v>
      </c>
      <c r="E61" s="26" t="s">
        <v>1182</v>
      </c>
      <c r="F61" s="26" t="s">
        <v>1058</v>
      </c>
      <c r="G61" s="26" t="s">
        <v>1057</v>
      </c>
      <c r="H61" s="26" t="s">
        <v>1058</v>
      </c>
      <c r="I61" s="26" t="s">
        <v>1162</v>
      </c>
      <c r="J61" s="26">
        <v>32000.0</v>
      </c>
      <c r="K61" s="26">
        <v>0.0</v>
      </c>
      <c r="L61" s="26">
        <v>32000.0</v>
      </c>
      <c r="M61" s="26">
        <v>12.0</v>
      </c>
      <c r="AF61" s="26">
        <v>12.0</v>
      </c>
      <c r="AG61" s="26">
        <v>1.1</v>
      </c>
      <c r="AH61" s="26">
        <v>1.3</v>
      </c>
    </row>
    <row r="62" ht="14.25" customHeight="1">
      <c r="A62" s="26" t="s">
        <v>1057</v>
      </c>
      <c r="B62" s="26" t="s">
        <v>894</v>
      </c>
      <c r="C62" s="26" t="s">
        <v>896</v>
      </c>
      <c r="D62" s="26" t="s">
        <v>13</v>
      </c>
      <c r="E62" s="26" t="s">
        <v>1183</v>
      </c>
      <c r="F62" s="26" t="s">
        <v>1058</v>
      </c>
      <c r="G62" s="26" t="s">
        <v>1057</v>
      </c>
      <c r="H62" s="26" t="s">
        <v>1058</v>
      </c>
      <c r="I62" s="26" t="s">
        <v>1162</v>
      </c>
      <c r="J62" s="26">
        <v>32000.0</v>
      </c>
      <c r="K62" s="26">
        <v>0.0</v>
      </c>
      <c r="L62" s="26">
        <v>32000.0</v>
      </c>
      <c r="M62" s="26">
        <v>13.0</v>
      </c>
      <c r="AF62" s="26">
        <v>13.0</v>
      </c>
      <c r="AG62" s="26">
        <v>1.1</v>
      </c>
      <c r="AH62" s="26">
        <v>1.5</v>
      </c>
    </row>
    <row r="63" ht="14.25" customHeight="1">
      <c r="A63" s="26" t="s">
        <v>1057</v>
      </c>
      <c r="B63" s="26" t="s">
        <v>894</v>
      </c>
      <c r="C63" s="26" t="s">
        <v>896</v>
      </c>
      <c r="D63" s="26" t="s">
        <v>13</v>
      </c>
      <c r="E63" s="26" t="s">
        <v>1184</v>
      </c>
      <c r="F63" s="26" t="s">
        <v>1058</v>
      </c>
      <c r="G63" s="26" t="s">
        <v>1057</v>
      </c>
      <c r="H63" s="26" t="s">
        <v>1058</v>
      </c>
      <c r="I63" s="26" t="s">
        <v>1162</v>
      </c>
      <c r="J63" s="26">
        <v>32000.0</v>
      </c>
      <c r="K63" s="26">
        <v>0.0</v>
      </c>
      <c r="L63" s="26">
        <v>32000.0</v>
      </c>
      <c r="M63" s="26">
        <v>13.0</v>
      </c>
      <c r="AF63" s="26">
        <v>13.0</v>
      </c>
      <c r="AG63" s="26">
        <v>1.1</v>
      </c>
      <c r="AH63" s="26">
        <v>1.5</v>
      </c>
    </row>
    <row r="64" ht="14.25" customHeight="1">
      <c r="A64" s="26" t="s">
        <v>1057</v>
      </c>
      <c r="B64" s="26" t="s">
        <v>894</v>
      </c>
      <c r="C64" s="26" t="s">
        <v>896</v>
      </c>
      <c r="D64" s="26" t="s">
        <v>13</v>
      </c>
      <c r="E64" s="26" t="s">
        <v>1185</v>
      </c>
      <c r="F64" s="26" t="s">
        <v>1058</v>
      </c>
      <c r="G64" s="26" t="s">
        <v>1057</v>
      </c>
      <c r="H64" s="26" t="s">
        <v>1058</v>
      </c>
      <c r="I64" s="26" t="s">
        <v>1186</v>
      </c>
      <c r="J64" s="26">
        <v>-10000.0</v>
      </c>
      <c r="K64" s="26">
        <v>0.0</v>
      </c>
      <c r="L64" s="26">
        <v>-10000.0</v>
      </c>
      <c r="M64" s="26">
        <v>42.0</v>
      </c>
      <c r="N64" s="26">
        <v>3390.0</v>
      </c>
      <c r="O64" s="26">
        <v>83.7</v>
      </c>
      <c r="AF64" s="26">
        <v>42.0</v>
      </c>
      <c r="AG64" s="26">
        <v>1.5</v>
      </c>
      <c r="AH64" s="26">
        <v>1.4</v>
      </c>
      <c r="AI64" s="26">
        <v>83.7</v>
      </c>
      <c r="AJ64" s="26">
        <v>1.5</v>
      </c>
      <c r="AK64" s="26">
        <v>1.4</v>
      </c>
    </row>
    <row r="65" ht="14.25" customHeight="1">
      <c r="A65" s="26" t="s">
        <v>1057</v>
      </c>
      <c r="B65" s="26" t="s">
        <v>894</v>
      </c>
      <c r="C65" s="26" t="s">
        <v>896</v>
      </c>
      <c r="D65" s="26" t="s">
        <v>13</v>
      </c>
      <c r="E65" s="26" t="s">
        <v>1187</v>
      </c>
      <c r="F65" s="26" t="s">
        <v>1058</v>
      </c>
      <c r="G65" s="26" t="s">
        <v>1057</v>
      </c>
      <c r="H65" s="26" t="s">
        <v>1058</v>
      </c>
      <c r="I65" s="26" t="s">
        <v>1186</v>
      </c>
      <c r="J65" s="26">
        <v>-10000.0</v>
      </c>
      <c r="K65" s="26">
        <v>0.0</v>
      </c>
      <c r="L65" s="26">
        <v>-10000.0</v>
      </c>
      <c r="M65" s="26">
        <v>42.0</v>
      </c>
      <c r="N65" s="26">
        <v>3390.0</v>
      </c>
      <c r="O65" s="26">
        <v>83.7</v>
      </c>
      <c r="AF65" s="26">
        <v>42.0</v>
      </c>
      <c r="AG65" s="26">
        <v>1.3</v>
      </c>
      <c r="AH65" s="26">
        <v>1.5</v>
      </c>
      <c r="AI65" s="26">
        <v>83.7</v>
      </c>
      <c r="AJ65" s="26">
        <v>1.3</v>
      </c>
      <c r="AK65" s="26">
        <v>1.5</v>
      </c>
    </row>
    <row r="66" ht="14.25" customHeight="1">
      <c r="A66" s="26" t="s">
        <v>1057</v>
      </c>
      <c r="B66" s="26" t="s">
        <v>894</v>
      </c>
      <c r="C66" s="26" t="s">
        <v>896</v>
      </c>
      <c r="D66" s="26" t="s">
        <v>13</v>
      </c>
      <c r="E66" s="26" t="s">
        <v>1189</v>
      </c>
      <c r="F66" s="26" t="s">
        <v>1058</v>
      </c>
      <c r="G66" s="26" t="s">
        <v>1057</v>
      </c>
      <c r="H66" s="26" t="s">
        <v>1058</v>
      </c>
      <c r="I66" s="26" t="s">
        <v>1190</v>
      </c>
      <c r="J66" s="26">
        <v>14720.1</v>
      </c>
      <c r="K66" s="26">
        <v>0.0</v>
      </c>
      <c r="L66" s="26">
        <v>14720.1</v>
      </c>
      <c r="M66" s="26">
        <v>6.0</v>
      </c>
      <c r="AF66" s="26">
        <v>1.0</v>
      </c>
      <c r="AG66" s="26">
        <v>0.1</v>
      </c>
      <c r="AH66" s="26">
        <v>0.1</v>
      </c>
      <c r="AI66" s="26">
        <v>6.0</v>
      </c>
      <c r="AJ66" s="26">
        <v>0.3</v>
      </c>
      <c r="AK66" s="26">
        <v>0.3</v>
      </c>
    </row>
    <row r="67" ht="14.25" customHeight="1">
      <c r="A67" s="26" t="s">
        <v>1057</v>
      </c>
      <c r="B67" s="26" t="s">
        <v>894</v>
      </c>
      <c r="C67" s="26" t="s">
        <v>896</v>
      </c>
      <c r="D67" s="26" t="s">
        <v>13</v>
      </c>
      <c r="E67" s="26" t="s">
        <v>1191</v>
      </c>
      <c r="F67" s="26" t="s">
        <v>1058</v>
      </c>
      <c r="G67" s="26" t="s">
        <v>1057</v>
      </c>
      <c r="H67" s="26" t="s">
        <v>1058</v>
      </c>
      <c r="I67" s="26" t="s">
        <v>1190</v>
      </c>
      <c r="J67" s="26">
        <v>14720.1</v>
      </c>
      <c r="K67" s="26">
        <v>0.0</v>
      </c>
      <c r="L67" s="26">
        <v>14720.1</v>
      </c>
      <c r="M67" s="26">
        <v>6.0</v>
      </c>
      <c r="AF67" s="26">
        <v>1.0</v>
      </c>
      <c r="AG67" s="26">
        <v>0.1</v>
      </c>
      <c r="AH67" s="26">
        <v>0.4</v>
      </c>
      <c r="AI67" s="26">
        <v>6.0</v>
      </c>
      <c r="AJ67" s="26">
        <v>0.3</v>
      </c>
      <c r="AK67" s="26">
        <v>0.4</v>
      </c>
    </row>
    <row r="68" ht="14.25" customHeight="1">
      <c r="A68" s="26" t="s">
        <v>1057</v>
      </c>
      <c r="B68" s="26" t="s">
        <v>894</v>
      </c>
      <c r="C68" s="26" t="s">
        <v>896</v>
      </c>
      <c r="D68" s="26" t="s">
        <v>13</v>
      </c>
      <c r="E68" s="26" t="s">
        <v>1192</v>
      </c>
      <c r="F68" s="26" t="s">
        <v>1058</v>
      </c>
      <c r="G68" s="26" t="s">
        <v>1057</v>
      </c>
      <c r="H68" s="26" t="s">
        <v>1058</v>
      </c>
      <c r="I68" s="26" t="s">
        <v>1190</v>
      </c>
      <c r="J68" s="26">
        <v>14720.1</v>
      </c>
      <c r="K68" s="26">
        <v>0.0</v>
      </c>
      <c r="L68" s="26">
        <v>14720.1</v>
      </c>
      <c r="M68" s="26">
        <v>6.0</v>
      </c>
      <c r="AF68" s="26">
        <v>1.0</v>
      </c>
      <c r="AG68" s="26">
        <v>0.1</v>
      </c>
      <c r="AH68" s="26">
        <v>0.3</v>
      </c>
      <c r="AI68" s="26">
        <v>6.0</v>
      </c>
      <c r="AJ68" s="26">
        <v>0.2</v>
      </c>
      <c r="AK68" s="26">
        <v>0.3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8.71"/>
  </cols>
  <sheetData>
    <row r="1" ht="14.25" customHeight="1">
      <c r="A1" s="32" t="s">
        <v>882</v>
      </c>
      <c r="B1" s="32" t="s">
        <v>883</v>
      </c>
      <c r="C1" s="32" t="s">
        <v>1059</v>
      </c>
      <c r="D1" s="32" t="s">
        <v>1060</v>
      </c>
      <c r="E1" s="32" t="s">
        <v>1061</v>
      </c>
      <c r="F1" s="32" t="s">
        <v>884</v>
      </c>
      <c r="G1" s="32" t="s">
        <v>1062</v>
      </c>
      <c r="H1" s="32" t="s">
        <v>1063</v>
      </c>
      <c r="I1" s="32" t="s">
        <v>1064</v>
      </c>
      <c r="J1" s="33" t="s">
        <v>1065</v>
      </c>
      <c r="K1" s="33" t="s">
        <v>1066</v>
      </c>
      <c r="L1" s="33" t="s">
        <v>1067</v>
      </c>
      <c r="M1" s="33" t="s">
        <v>1068</v>
      </c>
      <c r="N1" s="33" t="s">
        <v>1069</v>
      </c>
      <c r="O1" s="33" t="s">
        <v>1070</v>
      </c>
      <c r="P1" s="33" t="s">
        <v>1071</v>
      </c>
      <c r="Q1" s="33" t="s">
        <v>1072</v>
      </c>
      <c r="R1" s="33" t="s">
        <v>1073</v>
      </c>
      <c r="S1" s="33" t="s">
        <v>1074</v>
      </c>
      <c r="T1" s="33" t="s">
        <v>1075</v>
      </c>
      <c r="U1" s="33" t="s">
        <v>1076</v>
      </c>
      <c r="V1" s="33" t="s">
        <v>1077</v>
      </c>
      <c r="W1" s="33" t="s">
        <v>1078</v>
      </c>
      <c r="X1" s="33" t="s">
        <v>1079</v>
      </c>
      <c r="Y1" s="33" t="s">
        <v>1080</v>
      </c>
      <c r="Z1" s="33" t="s">
        <v>1081</v>
      </c>
      <c r="AA1" s="33" t="s">
        <v>1082</v>
      </c>
      <c r="AB1" s="33" t="s">
        <v>1083</v>
      </c>
      <c r="AC1" s="33" t="s">
        <v>1084</v>
      </c>
      <c r="AD1" s="33" t="s">
        <v>1085</v>
      </c>
      <c r="AE1" s="33" t="s">
        <v>1086</v>
      </c>
      <c r="AF1" s="33" t="s">
        <v>1087</v>
      </c>
      <c r="AG1" s="33" t="s">
        <v>1088</v>
      </c>
      <c r="AH1" s="33" t="s">
        <v>1089</v>
      </c>
      <c r="AI1" s="33" t="s">
        <v>1090</v>
      </c>
      <c r="AJ1" s="33" t="s">
        <v>1091</v>
      </c>
      <c r="AK1" s="33" t="s">
        <v>1092</v>
      </c>
      <c r="AL1" s="33" t="s">
        <v>1093</v>
      </c>
      <c r="AM1" s="33" t="s">
        <v>1094</v>
      </c>
      <c r="AN1" s="33" t="s">
        <v>1095</v>
      </c>
      <c r="AO1" s="33" t="s">
        <v>1096</v>
      </c>
      <c r="AP1" s="33" t="s">
        <v>1097</v>
      </c>
      <c r="AQ1" s="33" t="s">
        <v>1098</v>
      </c>
      <c r="AR1" s="33" t="s">
        <v>1099</v>
      </c>
      <c r="AS1" s="33" t="s">
        <v>1100</v>
      </c>
      <c r="AT1" s="33" t="s">
        <v>1101</v>
      </c>
    </row>
    <row r="2" ht="14.25" customHeight="1">
      <c r="A2" s="31">
        <v>46236.625</v>
      </c>
      <c r="B2" s="26" t="s">
        <v>894</v>
      </c>
      <c r="C2" s="26" t="s">
        <v>896</v>
      </c>
      <c r="D2" s="26" t="s">
        <v>1102</v>
      </c>
      <c r="E2" s="26" t="s">
        <v>1103</v>
      </c>
      <c r="F2" s="31">
        <v>46236.62847222222</v>
      </c>
      <c r="G2" s="31">
        <v>46236.625</v>
      </c>
      <c r="H2" s="31">
        <v>46236.62847222222</v>
      </c>
      <c r="I2" s="26" t="s">
        <v>1104</v>
      </c>
      <c r="J2" s="26">
        <v>21900.0</v>
      </c>
      <c r="K2" s="26">
        <v>0.0</v>
      </c>
      <c r="L2" s="26">
        <v>21900.0</v>
      </c>
      <c r="M2" s="26">
        <v>5.5</v>
      </c>
      <c r="N2" s="26">
        <v>21910.0</v>
      </c>
      <c r="O2" s="26">
        <v>10.9</v>
      </c>
      <c r="AF2" s="26">
        <v>1.0</v>
      </c>
      <c r="AG2" s="26">
        <v>0.2</v>
      </c>
      <c r="AH2" s="26">
        <v>2.2</v>
      </c>
      <c r="AI2" s="26">
        <v>5.5</v>
      </c>
      <c r="AJ2" s="26">
        <v>1.1</v>
      </c>
      <c r="AK2" s="26">
        <v>2.2</v>
      </c>
      <c r="AL2" s="26">
        <v>10.9</v>
      </c>
      <c r="AM2" s="26">
        <v>2.2</v>
      </c>
      <c r="AN2" s="26">
        <v>2.2</v>
      </c>
    </row>
    <row r="3" ht="14.25" customHeight="1">
      <c r="A3" s="31">
        <v>46236.625</v>
      </c>
      <c r="B3" s="26" t="s">
        <v>894</v>
      </c>
      <c r="C3" s="26" t="s">
        <v>896</v>
      </c>
      <c r="D3" s="26" t="s">
        <v>1102</v>
      </c>
      <c r="E3" s="26" t="s">
        <v>1105</v>
      </c>
      <c r="F3" s="31">
        <v>46236.62847222222</v>
      </c>
      <c r="G3" s="31">
        <v>46236.625</v>
      </c>
      <c r="H3" s="31">
        <v>46236.62847222222</v>
      </c>
      <c r="I3" s="26" t="s">
        <v>1106</v>
      </c>
      <c r="J3" s="26">
        <v>31995.0</v>
      </c>
      <c r="K3" s="26">
        <v>0.0</v>
      </c>
      <c r="L3" s="26">
        <v>31995.0</v>
      </c>
      <c r="M3" s="26">
        <v>10.0</v>
      </c>
      <c r="AF3" s="26">
        <v>10.0</v>
      </c>
      <c r="AG3" s="26">
        <v>5.0</v>
      </c>
      <c r="AH3" s="26">
        <v>5.0</v>
      </c>
    </row>
    <row r="4" ht="14.25" customHeight="1">
      <c r="A4" s="31">
        <v>46236.625</v>
      </c>
      <c r="B4" s="26" t="s">
        <v>894</v>
      </c>
      <c r="C4" s="26" t="s">
        <v>896</v>
      </c>
      <c r="D4" s="26" t="s">
        <v>1102</v>
      </c>
      <c r="E4" s="26" t="s">
        <v>1107</v>
      </c>
      <c r="F4" s="31">
        <v>46236.62847222222</v>
      </c>
      <c r="G4" s="31">
        <v>46236.625</v>
      </c>
      <c r="H4" s="31">
        <v>46236.62847222222</v>
      </c>
      <c r="I4" s="26" t="s">
        <v>1106</v>
      </c>
      <c r="J4" s="26">
        <v>31997.0</v>
      </c>
      <c r="K4" s="26">
        <v>0.0</v>
      </c>
      <c r="L4" s="26">
        <v>31997.0</v>
      </c>
      <c r="M4" s="26">
        <v>10.0</v>
      </c>
      <c r="AF4" s="26">
        <v>10.0</v>
      </c>
      <c r="AG4" s="26">
        <v>5.0</v>
      </c>
      <c r="AH4" s="26">
        <v>5.0</v>
      </c>
    </row>
    <row r="5" ht="14.25" customHeight="1">
      <c r="A5" s="31">
        <v>46236.625</v>
      </c>
      <c r="B5" s="26" t="s">
        <v>894</v>
      </c>
      <c r="C5" s="26" t="s">
        <v>896</v>
      </c>
      <c r="D5" s="26" t="s">
        <v>1102</v>
      </c>
      <c r="E5" s="26" t="s">
        <v>1108</v>
      </c>
      <c r="F5" s="31">
        <v>46236.62847222222</v>
      </c>
      <c r="G5" s="31">
        <v>46236.625</v>
      </c>
      <c r="H5" s="31">
        <v>46236.62847222222</v>
      </c>
      <c r="I5" s="26" t="s">
        <v>1106</v>
      </c>
      <c r="J5" s="26">
        <v>31998.0</v>
      </c>
      <c r="K5" s="26">
        <v>0.0</v>
      </c>
      <c r="L5" s="26">
        <v>31998.0</v>
      </c>
      <c r="M5" s="26">
        <v>15.0</v>
      </c>
      <c r="AF5" s="26">
        <v>15.0</v>
      </c>
      <c r="AG5" s="26">
        <v>5.0</v>
      </c>
      <c r="AH5" s="26">
        <v>5.0</v>
      </c>
    </row>
    <row r="6" ht="14.25" customHeight="1">
      <c r="A6" s="31">
        <v>46236.625</v>
      </c>
      <c r="B6" s="26" t="s">
        <v>894</v>
      </c>
      <c r="C6" s="26" t="s">
        <v>896</v>
      </c>
      <c r="D6" s="26" t="s">
        <v>1102</v>
      </c>
      <c r="E6" s="26" t="s">
        <v>1109</v>
      </c>
      <c r="F6" s="31">
        <v>46236.62847222222</v>
      </c>
      <c r="G6" s="31">
        <v>46236.625</v>
      </c>
      <c r="H6" s="31">
        <v>46236.62847222222</v>
      </c>
      <c r="I6" s="26" t="s">
        <v>1106</v>
      </c>
      <c r="J6" s="26">
        <v>32000.0</v>
      </c>
      <c r="K6" s="26">
        <v>0.0</v>
      </c>
      <c r="L6" s="26">
        <v>32000.0</v>
      </c>
      <c r="M6" s="26">
        <v>10.0</v>
      </c>
      <c r="AF6" s="26">
        <v>10.0</v>
      </c>
      <c r="AG6" s="26">
        <v>5.0</v>
      </c>
      <c r="AH6" s="26">
        <v>5.0</v>
      </c>
    </row>
    <row r="7" ht="14.25" customHeight="1">
      <c r="A7" s="31">
        <v>46236.625</v>
      </c>
      <c r="B7" s="26" t="s">
        <v>894</v>
      </c>
      <c r="C7" s="26" t="s">
        <v>896</v>
      </c>
      <c r="D7" s="26" t="s">
        <v>1102</v>
      </c>
      <c r="E7" s="26" t="s">
        <v>1110</v>
      </c>
      <c r="F7" s="31">
        <v>46236.62847222222</v>
      </c>
      <c r="G7" s="31">
        <v>46236.625</v>
      </c>
      <c r="H7" s="31">
        <v>46236.62847222222</v>
      </c>
      <c r="I7" s="26" t="s">
        <v>1106</v>
      </c>
      <c r="J7" s="26">
        <v>31996.0</v>
      </c>
      <c r="K7" s="26">
        <v>0.0</v>
      </c>
      <c r="L7" s="26">
        <v>31996.0</v>
      </c>
      <c r="M7" s="26">
        <v>15.0</v>
      </c>
      <c r="AF7" s="26">
        <v>15.0</v>
      </c>
      <c r="AG7" s="26">
        <v>5.0</v>
      </c>
      <c r="AH7" s="26">
        <v>5.0</v>
      </c>
    </row>
    <row r="8" ht="14.25" customHeight="1">
      <c r="A8" s="31">
        <v>46236.625</v>
      </c>
      <c r="B8" s="26" t="s">
        <v>894</v>
      </c>
      <c r="C8" s="26" t="s">
        <v>896</v>
      </c>
      <c r="D8" s="26" t="s">
        <v>1102</v>
      </c>
      <c r="E8" s="26" t="s">
        <v>1111</v>
      </c>
      <c r="F8" s="31">
        <v>46236.62847222222</v>
      </c>
      <c r="G8" s="31">
        <v>46236.625</v>
      </c>
      <c r="H8" s="31">
        <v>46236.62847222222</v>
      </c>
      <c r="I8" s="26" t="s">
        <v>1106</v>
      </c>
      <c r="J8" s="26">
        <v>31999.0</v>
      </c>
      <c r="K8" s="26">
        <v>0.0</v>
      </c>
      <c r="L8" s="26">
        <v>31999.0</v>
      </c>
      <c r="M8" s="26">
        <v>10.0</v>
      </c>
      <c r="AF8" s="26">
        <v>10.0</v>
      </c>
      <c r="AG8" s="26">
        <v>5.0</v>
      </c>
      <c r="AH8" s="26">
        <v>5.0</v>
      </c>
    </row>
    <row r="9" ht="14.25" customHeight="1">
      <c r="A9" s="31">
        <v>46236.625</v>
      </c>
      <c r="B9" s="26" t="s">
        <v>894</v>
      </c>
      <c r="C9" s="26" t="s">
        <v>896</v>
      </c>
      <c r="D9" s="26" t="s">
        <v>1102</v>
      </c>
      <c r="E9" s="26" t="s">
        <v>1112</v>
      </c>
      <c r="F9" s="31">
        <v>46236.62847222222</v>
      </c>
      <c r="G9" s="31">
        <v>46236.625</v>
      </c>
      <c r="H9" s="31">
        <v>46236.62847222222</v>
      </c>
      <c r="I9" s="26" t="s">
        <v>1113</v>
      </c>
      <c r="J9" s="26">
        <v>32000.0</v>
      </c>
      <c r="K9" s="26">
        <v>0.0</v>
      </c>
      <c r="L9" s="26">
        <v>32000.0</v>
      </c>
      <c r="M9" s="26">
        <v>40.0</v>
      </c>
      <c r="AF9" s="26">
        <v>40.0</v>
      </c>
      <c r="AG9" s="26">
        <v>5004.0</v>
      </c>
      <c r="AH9" s="26">
        <v>5004.0</v>
      </c>
    </row>
    <row r="10" ht="14.25" customHeight="1">
      <c r="A10" s="31">
        <v>46236.625</v>
      </c>
      <c r="B10" s="26" t="s">
        <v>894</v>
      </c>
      <c r="C10" s="26" t="s">
        <v>896</v>
      </c>
      <c r="D10" s="26" t="s">
        <v>1102</v>
      </c>
      <c r="E10" s="26" t="s">
        <v>1114</v>
      </c>
      <c r="F10" s="31">
        <v>46236.62847222222</v>
      </c>
      <c r="G10" s="31">
        <v>46236.625</v>
      </c>
      <c r="H10" s="31">
        <v>46236.62847222222</v>
      </c>
      <c r="I10" s="26" t="s">
        <v>1115</v>
      </c>
      <c r="J10" s="26">
        <v>-10000.0</v>
      </c>
      <c r="K10" s="26">
        <v>-10.0</v>
      </c>
      <c r="L10" s="26">
        <v>-10000.0</v>
      </c>
      <c r="M10" s="26">
        <v>0.0</v>
      </c>
      <c r="N10" s="26">
        <v>32000.0</v>
      </c>
      <c r="O10" s="26">
        <v>10.0</v>
      </c>
      <c r="AF10" s="26">
        <v>10.0</v>
      </c>
      <c r="AG10" s="26">
        <v>999.0</v>
      </c>
      <c r="AH10" s="26">
        <v>999.0</v>
      </c>
    </row>
    <row r="11" ht="14.25" customHeight="1">
      <c r="A11" s="31">
        <v>46236.625</v>
      </c>
      <c r="B11" s="26" t="s">
        <v>894</v>
      </c>
      <c r="C11" s="26" t="s">
        <v>896</v>
      </c>
      <c r="D11" s="26" t="s">
        <v>248</v>
      </c>
      <c r="E11" s="26" t="s">
        <v>1116</v>
      </c>
      <c r="F11" s="31">
        <v>46236.62847222222</v>
      </c>
      <c r="G11" s="31">
        <v>46236.625</v>
      </c>
      <c r="H11" s="31">
        <v>46236.62847222222</v>
      </c>
      <c r="I11" s="26" t="s">
        <v>1117</v>
      </c>
      <c r="J11" s="26">
        <v>32000.0</v>
      </c>
      <c r="K11" s="26">
        <v>0.0</v>
      </c>
      <c r="L11" s="26">
        <v>32000.0</v>
      </c>
      <c r="M11" s="26">
        <v>10.0</v>
      </c>
      <c r="AF11" s="26">
        <v>10.0</v>
      </c>
      <c r="AG11" s="26">
        <v>1.0</v>
      </c>
      <c r="AH11" s="26">
        <v>1.0</v>
      </c>
    </row>
    <row r="12" ht="14.25" customHeight="1">
      <c r="A12" s="31">
        <v>46236.625</v>
      </c>
      <c r="B12" s="26" t="s">
        <v>894</v>
      </c>
      <c r="C12" s="26" t="s">
        <v>896</v>
      </c>
      <c r="D12" s="26" t="s">
        <v>248</v>
      </c>
      <c r="E12" s="26" t="s">
        <v>1118</v>
      </c>
      <c r="F12" s="31">
        <v>46236.62847222222</v>
      </c>
      <c r="G12" s="31">
        <v>46236.625</v>
      </c>
      <c r="H12" s="31">
        <v>46236.62847222222</v>
      </c>
      <c r="I12" s="26" t="s">
        <v>1117</v>
      </c>
      <c r="J12" s="26">
        <v>32000.0</v>
      </c>
      <c r="K12" s="26">
        <v>0.0</v>
      </c>
      <c r="L12" s="26">
        <v>32000.0</v>
      </c>
      <c r="M12" s="26">
        <v>10.0</v>
      </c>
      <c r="AF12" s="26">
        <v>10.0</v>
      </c>
      <c r="AG12" s="26">
        <v>1.0</v>
      </c>
      <c r="AH12" s="26">
        <v>1.0</v>
      </c>
    </row>
    <row r="13" ht="14.25" customHeight="1">
      <c r="A13" s="31">
        <v>46236.625</v>
      </c>
      <c r="B13" s="26" t="s">
        <v>894</v>
      </c>
      <c r="C13" s="26" t="s">
        <v>896</v>
      </c>
      <c r="D13" s="26" t="s">
        <v>248</v>
      </c>
      <c r="E13" s="26" t="s">
        <v>1194</v>
      </c>
      <c r="F13" s="31">
        <v>46236.62847222222</v>
      </c>
      <c r="G13" s="31">
        <v>46236.625</v>
      </c>
      <c r="H13" s="31">
        <v>46236.62847222222</v>
      </c>
      <c r="I13" s="26" t="s">
        <v>1117</v>
      </c>
      <c r="J13" s="26">
        <v>32000.0</v>
      </c>
      <c r="K13" s="26">
        <v>0.0</v>
      </c>
      <c r="L13" s="26">
        <v>32000.0</v>
      </c>
      <c r="M13" s="26">
        <v>10.0</v>
      </c>
      <c r="AF13" s="26">
        <v>10.0</v>
      </c>
      <c r="AG13" s="26">
        <v>1.0</v>
      </c>
      <c r="AH13" s="26">
        <v>1.0</v>
      </c>
    </row>
    <row r="14" ht="14.25" customHeight="1">
      <c r="A14" s="31">
        <v>46236.625</v>
      </c>
      <c r="B14" s="26" t="s">
        <v>894</v>
      </c>
      <c r="C14" s="26" t="s">
        <v>896</v>
      </c>
      <c r="D14" s="26" t="s">
        <v>248</v>
      </c>
      <c r="E14" s="26" t="s">
        <v>1119</v>
      </c>
      <c r="F14" s="31">
        <v>46236.62847222222</v>
      </c>
      <c r="G14" s="31">
        <v>46236.625</v>
      </c>
      <c r="H14" s="31">
        <v>46236.62847222222</v>
      </c>
      <c r="I14" s="26" t="s">
        <v>1120</v>
      </c>
      <c r="J14" s="26">
        <v>-10000.0</v>
      </c>
      <c r="K14" s="26">
        <v>0.0</v>
      </c>
      <c r="L14" s="26">
        <v>-10000.0</v>
      </c>
      <c r="M14" s="26">
        <v>45.1</v>
      </c>
      <c r="N14" s="26">
        <v>3060.0</v>
      </c>
      <c r="O14" s="26">
        <v>78.2</v>
      </c>
      <c r="P14" s="26">
        <v>7520.0</v>
      </c>
      <c r="Q14" s="26">
        <v>83.2</v>
      </c>
      <c r="AF14" s="26">
        <v>45.1</v>
      </c>
      <c r="AG14" s="26">
        <v>1.0</v>
      </c>
      <c r="AH14" s="26">
        <v>1.0</v>
      </c>
      <c r="AI14" s="26">
        <v>83.2</v>
      </c>
      <c r="AJ14" s="26">
        <v>1.0</v>
      </c>
      <c r="AK14" s="26">
        <v>1.0</v>
      </c>
    </row>
    <row r="15" ht="14.25" customHeight="1">
      <c r="A15" s="31">
        <v>46236.625</v>
      </c>
      <c r="B15" s="26" t="s">
        <v>894</v>
      </c>
      <c r="C15" s="26" t="s">
        <v>896</v>
      </c>
      <c r="D15" s="26" t="s">
        <v>248</v>
      </c>
      <c r="E15" s="26" t="s">
        <v>1122</v>
      </c>
      <c r="F15" s="31">
        <v>46236.62847222222</v>
      </c>
      <c r="G15" s="31">
        <v>46236.625</v>
      </c>
      <c r="H15" s="31">
        <v>46236.62847222222</v>
      </c>
      <c r="I15" s="26" t="s">
        <v>1120</v>
      </c>
      <c r="J15" s="26">
        <v>-10000.0</v>
      </c>
      <c r="K15" s="26">
        <v>0.0</v>
      </c>
      <c r="L15" s="26">
        <v>-10000.0</v>
      </c>
      <c r="M15" s="26">
        <v>45.1</v>
      </c>
      <c r="N15" s="26">
        <v>3060.0</v>
      </c>
      <c r="O15" s="26">
        <v>83.1</v>
      </c>
      <c r="AF15" s="26">
        <v>45.1</v>
      </c>
      <c r="AG15" s="26">
        <v>1.0</v>
      </c>
      <c r="AH15" s="26">
        <v>1.0</v>
      </c>
      <c r="AI15" s="26">
        <v>83.1</v>
      </c>
      <c r="AJ15" s="26">
        <v>1.0</v>
      </c>
      <c r="AK15" s="26">
        <v>1.0</v>
      </c>
    </row>
    <row r="16" ht="14.25" customHeight="1">
      <c r="A16" s="31">
        <v>46236.625</v>
      </c>
      <c r="B16" s="26" t="s">
        <v>894</v>
      </c>
      <c r="C16" s="26" t="s">
        <v>896</v>
      </c>
      <c r="D16" s="26" t="s">
        <v>248</v>
      </c>
      <c r="E16" s="26" t="s">
        <v>1123</v>
      </c>
      <c r="F16" s="31">
        <v>46236.62847222222</v>
      </c>
      <c r="G16" s="31">
        <v>46236.625</v>
      </c>
      <c r="H16" s="31">
        <v>46236.62847222222</v>
      </c>
      <c r="I16" s="26" t="s">
        <v>1124</v>
      </c>
      <c r="J16" s="26">
        <v>32000.0</v>
      </c>
      <c r="K16" s="26">
        <v>0.0</v>
      </c>
      <c r="L16" s="26">
        <v>32000.0</v>
      </c>
      <c r="M16" s="26">
        <v>6.5</v>
      </c>
      <c r="AF16" s="26">
        <v>4.0</v>
      </c>
      <c r="AG16" s="26">
        <v>0.3</v>
      </c>
      <c r="AH16" s="26">
        <v>0.7</v>
      </c>
      <c r="AI16" s="26">
        <v>6.5</v>
      </c>
      <c r="AJ16" s="26">
        <v>0.4</v>
      </c>
      <c r="AK16" s="26">
        <v>1.4</v>
      </c>
    </row>
    <row r="17" ht="14.25" customHeight="1">
      <c r="A17" s="31">
        <v>46236.625</v>
      </c>
      <c r="B17" s="26" t="s">
        <v>894</v>
      </c>
      <c r="C17" s="26" t="s">
        <v>896</v>
      </c>
      <c r="D17" s="26" t="s">
        <v>248</v>
      </c>
      <c r="E17" s="26" t="s">
        <v>1125</v>
      </c>
      <c r="F17" s="31">
        <v>46236.62847222222</v>
      </c>
      <c r="G17" s="31">
        <v>46236.625</v>
      </c>
      <c r="H17" s="31">
        <v>46236.62847222222</v>
      </c>
      <c r="I17" s="26" t="s">
        <v>1124</v>
      </c>
      <c r="J17" s="26">
        <v>32000.0</v>
      </c>
      <c r="K17" s="26">
        <v>0.0</v>
      </c>
      <c r="L17" s="26">
        <v>32000.0</v>
      </c>
      <c r="M17" s="26">
        <v>6.5</v>
      </c>
      <c r="AF17" s="26">
        <v>4.0</v>
      </c>
      <c r="AG17" s="26">
        <v>0.3</v>
      </c>
      <c r="AH17" s="26">
        <v>0.7</v>
      </c>
      <c r="AI17" s="26">
        <v>6.5</v>
      </c>
      <c r="AJ17" s="26">
        <v>0.4</v>
      </c>
      <c r="AK17" s="26">
        <v>1.4</v>
      </c>
    </row>
    <row r="18" ht="14.25" customHeight="1">
      <c r="A18" s="31">
        <v>46236.625</v>
      </c>
      <c r="B18" s="26" t="s">
        <v>894</v>
      </c>
      <c r="C18" s="26" t="s">
        <v>896</v>
      </c>
      <c r="D18" s="26" t="s">
        <v>248</v>
      </c>
      <c r="E18" s="26" t="s">
        <v>1126</v>
      </c>
      <c r="F18" s="31">
        <v>46236.62847222222</v>
      </c>
      <c r="G18" s="31">
        <v>46236.625</v>
      </c>
      <c r="H18" s="31">
        <v>46236.62847222222</v>
      </c>
      <c r="I18" s="26" t="s">
        <v>1124</v>
      </c>
      <c r="J18" s="26">
        <v>32000.0</v>
      </c>
      <c r="K18" s="26">
        <v>0.0</v>
      </c>
      <c r="L18" s="26">
        <v>32000.0</v>
      </c>
      <c r="M18" s="26">
        <v>6.5</v>
      </c>
      <c r="AF18" s="26">
        <v>4.0</v>
      </c>
      <c r="AG18" s="26">
        <v>0.3</v>
      </c>
      <c r="AH18" s="26">
        <v>0.7</v>
      </c>
      <c r="AI18" s="26">
        <v>6.5</v>
      </c>
      <c r="AJ18" s="26">
        <v>0.4</v>
      </c>
      <c r="AK18" s="26">
        <v>1.4</v>
      </c>
    </row>
    <row r="19" ht="14.25" customHeight="1">
      <c r="A19" s="31">
        <v>46236.625</v>
      </c>
      <c r="B19" s="26" t="s">
        <v>894</v>
      </c>
      <c r="C19" s="26" t="s">
        <v>896</v>
      </c>
      <c r="D19" s="26" t="s">
        <v>248</v>
      </c>
      <c r="E19" s="26" t="s">
        <v>1127</v>
      </c>
      <c r="F19" s="31">
        <v>46236.62847222222</v>
      </c>
      <c r="G19" s="31">
        <v>46236.625</v>
      </c>
      <c r="H19" s="31">
        <v>46236.62847222222</v>
      </c>
      <c r="I19" s="26" t="s">
        <v>1124</v>
      </c>
      <c r="J19" s="26">
        <v>32000.0</v>
      </c>
      <c r="K19" s="26">
        <v>0.0</v>
      </c>
      <c r="L19" s="26">
        <v>32000.0</v>
      </c>
      <c r="M19" s="26">
        <v>6.5</v>
      </c>
      <c r="AF19" s="26">
        <v>4.0</v>
      </c>
      <c r="AG19" s="26">
        <v>0.3</v>
      </c>
      <c r="AH19" s="26">
        <v>0.7</v>
      </c>
      <c r="AI19" s="26">
        <v>6.5</v>
      </c>
      <c r="AJ19" s="26">
        <v>0.4</v>
      </c>
      <c r="AK19" s="26">
        <v>1.4</v>
      </c>
    </row>
    <row r="20" ht="14.25" customHeight="1">
      <c r="A20" s="31">
        <v>46236.625</v>
      </c>
      <c r="B20" s="26" t="s">
        <v>894</v>
      </c>
      <c r="C20" s="26" t="s">
        <v>896</v>
      </c>
      <c r="D20" s="26" t="s">
        <v>248</v>
      </c>
      <c r="E20" s="26" t="s">
        <v>1128</v>
      </c>
      <c r="F20" s="31">
        <v>46236.62847222222</v>
      </c>
      <c r="G20" s="31">
        <v>46236.625</v>
      </c>
      <c r="H20" s="31">
        <v>46236.62847222222</v>
      </c>
      <c r="I20" s="26" t="s">
        <v>1124</v>
      </c>
      <c r="J20" s="26">
        <v>32000.0</v>
      </c>
      <c r="K20" s="26">
        <v>0.0</v>
      </c>
      <c r="L20" s="26">
        <v>32000.0</v>
      </c>
      <c r="M20" s="26">
        <v>6.5</v>
      </c>
      <c r="AF20" s="26">
        <v>4.0</v>
      </c>
      <c r="AG20" s="26">
        <v>0.3</v>
      </c>
      <c r="AH20" s="26">
        <v>0.7</v>
      </c>
      <c r="AI20" s="26">
        <v>6.5</v>
      </c>
      <c r="AJ20" s="26">
        <v>0.4</v>
      </c>
      <c r="AK20" s="26">
        <v>1.4</v>
      </c>
    </row>
    <row r="21" ht="14.25" customHeight="1">
      <c r="A21" s="31">
        <v>46236.625</v>
      </c>
      <c r="B21" s="26" t="s">
        <v>894</v>
      </c>
      <c r="C21" s="26" t="s">
        <v>896</v>
      </c>
      <c r="D21" s="26" t="s">
        <v>248</v>
      </c>
      <c r="E21" s="26" t="s">
        <v>1129</v>
      </c>
      <c r="F21" s="31">
        <v>46236.62847222222</v>
      </c>
      <c r="G21" s="31">
        <v>46236.625</v>
      </c>
      <c r="H21" s="31">
        <v>46236.62847222222</v>
      </c>
      <c r="I21" s="26" t="s">
        <v>1124</v>
      </c>
      <c r="J21" s="26">
        <v>32000.0</v>
      </c>
      <c r="K21" s="26">
        <v>0.0</v>
      </c>
      <c r="L21" s="26">
        <v>32000.0</v>
      </c>
      <c r="M21" s="26">
        <v>6.5</v>
      </c>
      <c r="AF21" s="26">
        <v>4.0</v>
      </c>
      <c r="AG21" s="26">
        <v>0.3</v>
      </c>
      <c r="AH21" s="26">
        <v>0.7</v>
      </c>
      <c r="AI21" s="26">
        <v>6.5</v>
      </c>
      <c r="AJ21" s="26">
        <v>0.4</v>
      </c>
      <c r="AK21" s="26">
        <v>1.4</v>
      </c>
    </row>
    <row r="22" ht="14.25" customHeight="1">
      <c r="A22" s="31">
        <v>46236.625</v>
      </c>
      <c r="B22" s="26" t="s">
        <v>894</v>
      </c>
      <c r="C22" s="26" t="s">
        <v>896</v>
      </c>
      <c r="D22" s="26" t="s">
        <v>248</v>
      </c>
      <c r="E22" s="26" t="s">
        <v>1130</v>
      </c>
      <c r="F22" s="31">
        <v>46236.62847222222</v>
      </c>
      <c r="G22" s="31">
        <v>46236.625</v>
      </c>
      <c r="H22" s="31">
        <v>46236.62847222222</v>
      </c>
      <c r="I22" s="26" t="s">
        <v>1124</v>
      </c>
      <c r="J22" s="26">
        <v>32000.0</v>
      </c>
      <c r="K22" s="26">
        <v>0.0</v>
      </c>
      <c r="L22" s="26">
        <v>32000.0</v>
      </c>
      <c r="M22" s="26">
        <v>6.5</v>
      </c>
      <c r="AF22" s="26">
        <v>4.0</v>
      </c>
      <c r="AG22" s="26">
        <v>0.3</v>
      </c>
      <c r="AH22" s="26">
        <v>0.7</v>
      </c>
      <c r="AI22" s="26">
        <v>6.5</v>
      </c>
      <c r="AJ22" s="26">
        <v>0.4</v>
      </c>
      <c r="AK22" s="26">
        <v>1.4</v>
      </c>
    </row>
    <row r="23" ht="14.25" customHeight="1">
      <c r="A23" s="31">
        <v>46236.625</v>
      </c>
      <c r="B23" s="26" t="s">
        <v>894</v>
      </c>
      <c r="C23" s="26" t="s">
        <v>896</v>
      </c>
      <c r="D23" s="26" t="s">
        <v>248</v>
      </c>
      <c r="E23" s="26" t="s">
        <v>1131</v>
      </c>
      <c r="F23" s="31">
        <v>46236.62847222222</v>
      </c>
      <c r="G23" s="31">
        <v>46236.625</v>
      </c>
      <c r="H23" s="31">
        <v>46236.62847222222</v>
      </c>
      <c r="I23" s="26" t="s">
        <v>1124</v>
      </c>
      <c r="J23" s="26">
        <v>32000.0</v>
      </c>
      <c r="K23" s="26">
        <v>0.0</v>
      </c>
      <c r="L23" s="26">
        <v>32000.0</v>
      </c>
      <c r="M23" s="26">
        <v>6.3</v>
      </c>
      <c r="AF23" s="26">
        <v>4.0</v>
      </c>
      <c r="AG23" s="26">
        <v>0.3</v>
      </c>
      <c r="AH23" s="26">
        <v>0.7</v>
      </c>
      <c r="AI23" s="26">
        <v>6.3</v>
      </c>
      <c r="AJ23" s="26">
        <v>0.4</v>
      </c>
      <c r="AK23" s="26">
        <v>1.4</v>
      </c>
    </row>
    <row r="24" ht="14.25" customHeight="1">
      <c r="A24" s="31">
        <v>46236.625</v>
      </c>
      <c r="B24" s="26" t="s">
        <v>894</v>
      </c>
      <c r="C24" s="26" t="s">
        <v>896</v>
      </c>
      <c r="D24" s="26" t="s">
        <v>248</v>
      </c>
      <c r="E24" s="26" t="s">
        <v>1132</v>
      </c>
      <c r="F24" s="31">
        <v>46236.62847222222</v>
      </c>
      <c r="G24" s="31">
        <v>46236.625</v>
      </c>
      <c r="H24" s="31">
        <v>46236.62847222222</v>
      </c>
      <c r="I24" s="26" t="s">
        <v>1124</v>
      </c>
      <c r="J24" s="26">
        <v>32000.0</v>
      </c>
      <c r="K24" s="26">
        <v>0.0</v>
      </c>
      <c r="L24" s="26">
        <v>32000.0</v>
      </c>
      <c r="M24" s="26">
        <v>6.3</v>
      </c>
      <c r="AF24" s="26">
        <v>4.0</v>
      </c>
      <c r="AG24" s="26">
        <v>0.3</v>
      </c>
      <c r="AH24" s="26">
        <v>0.7</v>
      </c>
      <c r="AI24" s="26">
        <v>6.3</v>
      </c>
      <c r="AJ24" s="26">
        <v>0.4</v>
      </c>
      <c r="AK24" s="26">
        <v>1.4</v>
      </c>
    </row>
    <row r="25" ht="14.25" customHeight="1">
      <c r="A25" s="31">
        <v>46236.625</v>
      </c>
      <c r="B25" s="26" t="s">
        <v>894</v>
      </c>
      <c r="C25" s="26" t="s">
        <v>896</v>
      </c>
      <c r="D25" s="26" t="s">
        <v>248</v>
      </c>
      <c r="E25" s="26" t="s">
        <v>1133</v>
      </c>
      <c r="F25" s="31">
        <v>46236.62847222222</v>
      </c>
      <c r="G25" s="31">
        <v>46236.625</v>
      </c>
      <c r="H25" s="31">
        <v>46236.62847222222</v>
      </c>
      <c r="I25" s="26" t="s">
        <v>1124</v>
      </c>
      <c r="J25" s="26">
        <v>32000.0</v>
      </c>
      <c r="K25" s="26">
        <v>0.0</v>
      </c>
      <c r="L25" s="26">
        <v>32000.0</v>
      </c>
      <c r="M25" s="26">
        <v>6.3</v>
      </c>
      <c r="AF25" s="26">
        <v>4.0</v>
      </c>
      <c r="AG25" s="26">
        <v>0.3</v>
      </c>
      <c r="AH25" s="26">
        <v>0.7</v>
      </c>
      <c r="AI25" s="26">
        <v>6.3</v>
      </c>
      <c r="AJ25" s="26">
        <v>0.4</v>
      </c>
      <c r="AK25" s="26">
        <v>1.4</v>
      </c>
    </row>
    <row r="26" ht="14.25" customHeight="1">
      <c r="A26" s="31">
        <v>46236.625</v>
      </c>
      <c r="B26" s="26" t="s">
        <v>894</v>
      </c>
      <c r="C26" s="26" t="s">
        <v>896</v>
      </c>
      <c r="D26" s="26" t="s">
        <v>248</v>
      </c>
      <c r="E26" s="26" t="s">
        <v>1136</v>
      </c>
      <c r="F26" s="31">
        <v>46236.62847222222</v>
      </c>
      <c r="G26" s="31">
        <v>46236.625</v>
      </c>
      <c r="H26" s="31">
        <v>46236.62847222222</v>
      </c>
      <c r="I26" s="26" t="s">
        <v>1135</v>
      </c>
      <c r="J26" s="26">
        <v>32000.0</v>
      </c>
      <c r="K26" s="26">
        <v>0.0</v>
      </c>
      <c r="L26" s="26">
        <v>32000.0</v>
      </c>
      <c r="M26" s="26">
        <v>10.5</v>
      </c>
      <c r="AF26" s="26">
        <v>11.5</v>
      </c>
      <c r="AG26" s="26">
        <v>0.1</v>
      </c>
      <c r="AH26" s="26">
        <v>3.0</v>
      </c>
    </row>
    <row r="27" ht="14.25" customHeight="1">
      <c r="A27" s="31">
        <v>46236.625</v>
      </c>
      <c r="B27" s="26" t="s">
        <v>894</v>
      </c>
      <c r="C27" s="26" t="s">
        <v>896</v>
      </c>
      <c r="D27" s="26" t="s">
        <v>248</v>
      </c>
      <c r="E27" s="26" t="s">
        <v>1137</v>
      </c>
      <c r="F27" s="31">
        <v>46236.62847222222</v>
      </c>
      <c r="G27" s="31">
        <v>46236.625</v>
      </c>
      <c r="H27" s="31">
        <v>46236.62847222222</v>
      </c>
      <c r="I27" s="26" t="s">
        <v>1135</v>
      </c>
      <c r="J27" s="26">
        <v>32000.0</v>
      </c>
      <c r="K27" s="26">
        <v>0.0</v>
      </c>
      <c r="L27" s="26">
        <v>32000.0</v>
      </c>
      <c r="M27" s="26">
        <v>11.5</v>
      </c>
      <c r="AF27" s="26">
        <v>11.5</v>
      </c>
      <c r="AG27" s="26">
        <v>0.1</v>
      </c>
      <c r="AH27" s="26">
        <v>3.0</v>
      </c>
    </row>
    <row r="28" ht="14.25" customHeight="1">
      <c r="A28" s="31">
        <v>46236.625</v>
      </c>
      <c r="B28" s="26" t="s">
        <v>894</v>
      </c>
      <c r="C28" s="26" t="s">
        <v>896</v>
      </c>
      <c r="D28" s="26" t="s">
        <v>248</v>
      </c>
      <c r="E28" s="26" t="s">
        <v>1138</v>
      </c>
      <c r="F28" s="31">
        <v>46236.62847222222</v>
      </c>
      <c r="G28" s="31">
        <v>46236.625</v>
      </c>
      <c r="H28" s="31">
        <v>46236.62847222222</v>
      </c>
      <c r="I28" s="26" t="s">
        <v>561</v>
      </c>
      <c r="J28" s="26">
        <v>-10000.0</v>
      </c>
      <c r="K28" s="26">
        <v>0.0</v>
      </c>
      <c r="L28" s="26">
        <v>-10000.0</v>
      </c>
      <c r="M28" s="26">
        <v>103.0</v>
      </c>
      <c r="AF28" s="26">
        <v>75.0</v>
      </c>
      <c r="AG28" s="26">
        <v>0.4</v>
      </c>
      <c r="AH28" s="26">
        <v>0.1</v>
      </c>
      <c r="AI28" s="26">
        <v>103.0</v>
      </c>
      <c r="AJ28" s="26">
        <v>0.4</v>
      </c>
      <c r="AK28" s="26">
        <v>0.4</v>
      </c>
    </row>
    <row r="29" ht="14.25" customHeight="1">
      <c r="A29" s="31">
        <v>46236.625</v>
      </c>
      <c r="B29" s="26" t="s">
        <v>894</v>
      </c>
      <c r="C29" s="26" t="s">
        <v>896</v>
      </c>
      <c r="D29" s="26" t="s">
        <v>248</v>
      </c>
      <c r="E29" s="26" t="s">
        <v>1139</v>
      </c>
      <c r="F29" s="31">
        <v>46236.62847222222</v>
      </c>
      <c r="G29" s="31">
        <v>46236.625</v>
      </c>
      <c r="H29" s="31">
        <v>46236.62847222222</v>
      </c>
      <c r="I29" s="26" t="s">
        <v>561</v>
      </c>
      <c r="J29" s="26">
        <v>-10000.0</v>
      </c>
      <c r="K29" s="26">
        <v>0.0</v>
      </c>
      <c r="L29" s="26">
        <v>-10000.0</v>
      </c>
      <c r="M29" s="26">
        <v>103.0</v>
      </c>
      <c r="AF29" s="26">
        <v>75.0</v>
      </c>
      <c r="AG29" s="26">
        <v>0.4</v>
      </c>
      <c r="AH29" s="26">
        <v>0.1</v>
      </c>
      <c r="AI29" s="26">
        <v>103.0</v>
      </c>
      <c r="AJ29" s="26">
        <v>0.4</v>
      </c>
      <c r="AK29" s="26">
        <v>0.4</v>
      </c>
    </row>
    <row r="30" ht="14.25" customHeight="1">
      <c r="A30" s="31">
        <v>46236.625</v>
      </c>
      <c r="B30" s="26" t="s">
        <v>894</v>
      </c>
      <c r="C30" s="26" t="s">
        <v>896</v>
      </c>
      <c r="D30" s="26" t="s">
        <v>248</v>
      </c>
      <c r="E30" s="26" t="s">
        <v>1142</v>
      </c>
      <c r="F30" s="31">
        <v>46236.62847222222</v>
      </c>
      <c r="G30" s="31">
        <v>46236.625</v>
      </c>
      <c r="H30" s="31">
        <v>46236.62847222222</v>
      </c>
      <c r="I30" s="26" t="s">
        <v>1141</v>
      </c>
      <c r="J30" s="26">
        <v>-10000.0</v>
      </c>
      <c r="K30" s="26">
        <v>0.0</v>
      </c>
      <c r="L30" s="26">
        <v>-10000.0</v>
      </c>
      <c r="M30" s="26">
        <v>70.0</v>
      </c>
      <c r="N30" s="26">
        <v>-1.0</v>
      </c>
      <c r="O30" s="26">
        <v>139.0</v>
      </c>
      <c r="P30" s="26">
        <v>22000.0</v>
      </c>
      <c r="Q30" s="26">
        <v>169.0</v>
      </c>
      <c r="AF30" s="26">
        <v>169.0</v>
      </c>
      <c r="AG30" s="26">
        <v>1.2</v>
      </c>
      <c r="AH30" s="26">
        <v>1.2</v>
      </c>
    </row>
    <row r="31" ht="14.25" customHeight="1">
      <c r="A31" s="31">
        <v>46236.625</v>
      </c>
      <c r="B31" s="26" t="s">
        <v>894</v>
      </c>
      <c r="C31" s="26" t="s">
        <v>896</v>
      </c>
      <c r="D31" s="26" t="s">
        <v>248</v>
      </c>
      <c r="E31" s="26" t="s">
        <v>1143</v>
      </c>
      <c r="F31" s="31">
        <v>46236.62847222222</v>
      </c>
      <c r="G31" s="31">
        <v>46236.625</v>
      </c>
      <c r="H31" s="31">
        <v>46236.62847222222</v>
      </c>
      <c r="I31" s="26" t="s">
        <v>1113</v>
      </c>
      <c r="J31" s="26">
        <v>32000.0</v>
      </c>
      <c r="K31" s="26">
        <v>0.0</v>
      </c>
      <c r="L31" s="26">
        <v>32000.0</v>
      </c>
      <c r="M31" s="26">
        <v>19.3</v>
      </c>
      <c r="AF31" s="26">
        <v>20.0</v>
      </c>
      <c r="AG31" s="26">
        <v>2642.4</v>
      </c>
      <c r="AH31" s="26">
        <v>2642.4</v>
      </c>
    </row>
    <row r="32" ht="14.25" customHeight="1">
      <c r="A32" s="31">
        <v>46236.625</v>
      </c>
      <c r="B32" s="26" t="s">
        <v>894</v>
      </c>
      <c r="C32" s="26" t="s">
        <v>896</v>
      </c>
      <c r="D32" s="26" t="s">
        <v>248</v>
      </c>
      <c r="E32" s="26" t="s">
        <v>1144</v>
      </c>
      <c r="F32" s="31">
        <v>46236.62847222222</v>
      </c>
      <c r="G32" s="31">
        <v>46236.625</v>
      </c>
      <c r="H32" s="31">
        <v>46236.62847222222</v>
      </c>
      <c r="I32" s="26" t="s">
        <v>1117</v>
      </c>
      <c r="J32" s="26">
        <v>-10000.0</v>
      </c>
      <c r="K32" s="26">
        <v>0.0</v>
      </c>
      <c r="L32" s="26">
        <v>-10000.0</v>
      </c>
      <c r="M32" s="26">
        <v>59.0</v>
      </c>
      <c r="N32" s="26">
        <v>3660.0</v>
      </c>
      <c r="O32" s="26">
        <v>83.6</v>
      </c>
      <c r="AF32" s="26">
        <v>45.3</v>
      </c>
      <c r="AG32" s="26">
        <v>1.0</v>
      </c>
      <c r="AH32" s="26">
        <v>1.0</v>
      </c>
      <c r="AI32" s="26">
        <v>83.6</v>
      </c>
      <c r="AJ32" s="26">
        <v>1.0</v>
      </c>
      <c r="AK32" s="26">
        <v>1.0</v>
      </c>
    </row>
    <row r="33" ht="14.25" customHeight="1">
      <c r="A33" s="31">
        <v>46236.625</v>
      </c>
      <c r="B33" s="26" t="s">
        <v>894</v>
      </c>
      <c r="C33" s="26" t="s">
        <v>896</v>
      </c>
      <c r="D33" s="26" t="s">
        <v>102</v>
      </c>
      <c r="E33" s="26" t="s">
        <v>1145</v>
      </c>
      <c r="F33" s="31">
        <v>46236.62847222222</v>
      </c>
      <c r="G33" s="31">
        <v>46236.625</v>
      </c>
      <c r="H33" s="31">
        <v>46236.62847222222</v>
      </c>
      <c r="I33" s="26" t="s">
        <v>1146</v>
      </c>
      <c r="J33" s="26">
        <v>21600.0</v>
      </c>
      <c r="K33" s="26">
        <v>0.0</v>
      </c>
      <c r="L33" s="26">
        <v>21600.0</v>
      </c>
      <c r="M33" s="26">
        <v>4.4</v>
      </c>
      <c r="AF33" s="26">
        <v>4.4</v>
      </c>
      <c r="AG33" s="26">
        <v>0.1</v>
      </c>
      <c r="AH33" s="26">
        <v>0.2</v>
      </c>
    </row>
    <row r="34" ht="14.25" customHeight="1">
      <c r="A34" s="31">
        <v>46236.625</v>
      </c>
      <c r="B34" s="26" t="s">
        <v>894</v>
      </c>
      <c r="C34" s="26" t="s">
        <v>896</v>
      </c>
      <c r="D34" s="26" t="s">
        <v>102</v>
      </c>
      <c r="E34" s="26" t="s">
        <v>1147</v>
      </c>
      <c r="F34" s="31">
        <v>46236.62847222222</v>
      </c>
      <c r="G34" s="31">
        <v>46236.625</v>
      </c>
      <c r="H34" s="31">
        <v>46236.62847222222</v>
      </c>
      <c r="I34" s="26" t="s">
        <v>1146</v>
      </c>
      <c r="J34" s="26">
        <v>21600.0</v>
      </c>
      <c r="K34" s="26">
        <v>0.0</v>
      </c>
      <c r="L34" s="26">
        <v>21600.0</v>
      </c>
      <c r="M34" s="26">
        <v>4.4</v>
      </c>
      <c r="AF34" s="26">
        <v>4.4</v>
      </c>
      <c r="AG34" s="26">
        <v>0.1</v>
      </c>
      <c r="AH34" s="26">
        <v>0.2</v>
      </c>
    </row>
    <row r="35" ht="14.25" customHeight="1">
      <c r="A35" s="31">
        <v>46236.625</v>
      </c>
      <c r="B35" s="26" t="s">
        <v>894</v>
      </c>
      <c r="C35" s="26" t="s">
        <v>896</v>
      </c>
      <c r="D35" s="26" t="s">
        <v>102</v>
      </c>
      <c r="E35" s="26" t="s">
        <v>1148</v>
      </c>
      <c r="F35" s="31">
        <v>46236.62847222222</v>
      </c>
      <c r="G35" s="31">
        <v>46236.625</v>
      </c>
      <c r="H35" s="31">
        <v>46236.62847222222</v>
      </c>
      <c r="I35" s="26" t="s">
        <v>1146</v>
      </c>
      <c r="J35" s="26">
        <v>21600.0</v>
      </c>
      <c r="K35" s="26">
        <v>0.0</v>
      </c>
      <c r="L35" s="26">
        <v>21600.0</v>
      </c>
      <c r="M35" s="26">
        <v>4.4</v>
      </c>
      <c r="AF35" s="26">
        <v>4.4</v>
      </c>
      <c r="AG35" s="26">
        <v>0.1</v>
      </c>
      <c r="AH35" s="26">
        <v>0.2</v>
      </c>
    </row>
    <row r="36" ht="14.25" customHeight="1">
      <c r="A36" s="31">
        <v>46236.625</v>
      </c>
      <c r="B36" s="26" t="s">
        <v>894</v>
      </c>
      <c r="C36" s="26" t="s">
        <v>896</v>
      </c>
      <c r="D36" s="26" t="s">
        <v>102</v>
      </c>
      <c r="E36" s="26" t="s">
        <v>1149</v>
      </c>
      <c r="F36" s="31">
        <v>46236.62847222222</v>
      </c>
      <c r="G36" s="31">
        <v>46236.625</v>
      </c>
      <c r="H36" s="31">
        <v>46236.62847222222</v>
      </c>
      <c r="I36" s="26" t="s">
        <v>1146</v>
      </c>
      <c r="J36" s="26">
        <v>21600.0</v>
      </c>
      <c r="K36" s="26">
        <v>0.0</v>
      </c>
      <c r="L36" s="26">
        <v>21600.0</v>
      </c>
      <c r="M36" s="26">
        <v>6.5</v>
      </c>
      <c r="AF36" s="26">
        <v>6.5</v>
      </c>
      <c r="AG36" s="26">
        <v>0.1</v>
      </c>
      <c r="AH36" s="26">
        <v>0.4</v>
      </c>
    </row>
    <row r="37" ht="14.25" customHeight="1">
      <c r="A37" s="31">
        <v>46236.625</v>
      </c>
      <c r="B37" s="26" t="s">
        <v>894</v>
      </c>
      <c r="C37" s="26" t="s">
        <v>896</v>
      </c>
      <c r="D37" s="26" t="s">
        <v>102</v>
      </c>
      <c r="E37" s="26" t="s">
        <v>1150</v>
      </c>
      <c r="F37" s="31">
        <v>46236.62847222222</v>
      </c>
      <c r="G37" s="31">
        <v>46236.625</v>
      </c>
      <c r="H37" s="31">
        <v>46236.62847222222</v>
      </c>
      <c r="I37" s="26" t="s">
        <v>1146</v>
      </c>
      <c r="J37" s="26">
        <v>21600.0</v>
      </c>
      <c r="K37" s="26">
        <v>0.0</v>
      </c>
      <c r="L37" s="26">
        <v>21600.0</v>
      </c>
      <c r="M37" s="26">
        <v>6.5</v>
      </c>
      <c r="AF37" s="26">
        <v>6.5</v>
      </c>
      <c r="AG37" s="26">
        <v>0.1</v>
      </c>
      <c r="AH37" s="26">
        <v>0.4</v>
      </c>
    </row>
    <row r="38" ht="14.25" customHeight="1">
      <c r="A38" s="31">
        <v>46236.625</v>
      </c>
      <c r="B38" s="26" t="s">
        <v>894</v>
      </c>
      <c r="C38" s="26" t="s">
        <v>896</v>
      </c>
      <c r="D38" s="26" t="s">
        <v>102</v>
      </c>
      <c r="E38" s="26" t="s">
        <v>1151</v>
      </c>
      <c r="F38" s="31">
        <v>46236.62847222222</v>
      </c>
      <c r="G38" s="31">
        <v>46236.625</v>
      </c>
      <c r="H38" s="31">
        <v>46236.62847222222</v>
      </c>
      <c r="I38" s="26" t="s">
        <v>1152</v>
      </c>
      <c r="J38" s="26">
        <v>-10000.0</v>
      </c>
      <c r="K38" s="26">
        <v>-30.0</v>
      </c>
      <c r="L38" s="26">
        <v>-10000.0</v>
      </c>
      <c r="M38" s="26">
        <v>0.0</v>
      </c>
      <c r="N38" s="26">
        <v>32000.0</v>
      </c>
      <c r="O38" s="26">
        <v>30.0</v>
      </c>
      <c r="AF38" s="26">
        <v>30.0</v>
      </c>
      <c r="AG38" s="26">
        <v>150.0</v>
      </c>
      <c r="AH38" s="26">
        <v>150.0</v>
      </c>
    </row>
    <row r="39" ht="14.25" customHeight="1">
      <c r="A39" s="31">
        <v>46236.625</v>
      </c>
      <c r="B39" s="26" t="s">
        <v>894</v>
      </c>
      <c r="C39" s="26" t="s">
        <v>896</v>
      </c>
      <c r="D39" s="26" t="s">
        <v>102</v>
      </c>
      <c r="E39" s="26" t="s">
        <v>1153</v>
      </c>
      <c r="F39" s="31">
        <v>46236.62847222222</v>
      </c>
      <c r="G39" s="31">
        <v>46236.625</v>
      </c>
      <c r="H39" s="31">
        <v>46236.62847222222</v>
      </c>
      <c r="I39" s="26" t="s">
        <v>1154</v>
      </c>
      <c r="J39" s="26">
        <v>-10000.0</v>
      </c>
      <c r="K39" s="26">
        <v>0.0</v>
      </c>
      <c r="L39" s="26">
        <v>-10000.0</v>
      </c>
      <c r="M39" s="26">
        <v>22.9</v>
      </c>
      <c r="N39" s="26">
        <v>0.0</v>
      </c>
      <c r="O39" s="26">
        <v>35.2</v>
      </c>
      <c r="AF39" s="26">
        <v>35.2</v>
      </c>
      <c r="AG39" s="26">
        <v>4.7</v>
      </c>
      <c r="AH39" s="26">
        <v>4.7</v>
      </c>
    </row>
    <row r="40" ht="14.25" customHeight="1">
      <c r="A40" s="31">
        <v>46236.625</v>
      </c>
      <c r="B40" s="26" t="s">
        <v>894</v>
      </c>
      <c r="C40" s="26" t="s">
        <v>896</v>
      </c>
      <c r="D40" s="26" t="s">
        <v>102</v>
      </c>
      <c r="E40" s="26" t="s">
        <v>1156</v>
      </c>
      <c r="F40" s="31">
        <v>46236.62847222222</v>
      </c>
      <c r="G40" s="31">
        <v>46236.625</v>
      </c>
      <c r="H40" s="31">
        <v>46236.62847222222</v>
      </c>
      <c r="I40" s="26" t="s">
        <v>1154</v>
      </c>
      <c r="J40" s="26">
        <v>-10000.0</v>
      </c>
      <c r="K40" s="26">
        <v>0.0</v>
      </c>
      <c r="L40" s="26">
        <v>-10000.0</v>
      </c>
      <c r="M40" s="26">
        <v>22.9</v>
      </c>
      <c r="N40" s="26">
        <v>0.0</v>
      </c>
      <c r="O40" s="26">
        <v>35.3</v>
      </c>
      <c r="AF40" s="26">
        <v>35.3</v>
      </c>
      <c r="AG40" s="26">
        <v>4.9</v>
      </c>
      <c r="AH40" s="26">
        <v>4.9</v>
      </c>
    </row>
    <row r="41" ht="14.25" customHeight="1">
      <c r="A41" s="31">
        <v>46236.625</v>
      </c>
      <c r="B41" s="26" t="s">
        <v>894</v>
      </c>
      <c r="C41" s="26" t="s">
        <v>896</v>
      </c>
      <c r="D41" s="26" t="s">
        <v>102</v>
      </c>
      <c r="E41" s="26" t="s">
        <v>1157</v>
      </c>
      <c r="F41" s="31">
        <v>46236.62847222222</v>
      </c>
      <c r="G41" s="31">
        <v>46236.625</v>
      </c>
      <c r="H41" s="31">
        <v>46236.62847222222</v>
      </c>
      <c r="I41" s="26" t="s">
        <v>1154</v>
      </c>
      <c r="J41" s="26">
        <v>-10000.0</v>
      </c>
      <c r="K41" s="26">
        <v>0.0</v>
      </c>
      <c r="L41" s="26">
        <v>-10000.0</v>
      </c>
      <c r="M41" s="26">
        <v>10.0</v>
      </c>
      <c r="N41" s="26">
        <v>32000.0</v>
      </c>
      <c r="O41" s="26">
        <v>18.8</v>
      </c>
      <c r="AF41" s="26">
        <v>18.8</v>
      </c>
      <c r="AG41" s="26">
        <v>2.9</v>
      </c>
      <c r="AH41" s="26">
        <v>2.9</v>
      </c>
    </row>
    <row r="42" ht="14.25" customHeight="1">
      <c r="A42" s="31">
        <v>46236.625</v>
      </c>
      <c r="B42" s="26" t="s">
        <v>894</v>
      </c>
      <c r="C42" s="26" t="s">
        <v>896</v>
      </c>
      <c r="D42" s="26" t="s">
        <v>102</v>
      </c>
      <c r="E42" s="26" t="s">
        <v>1158</v>
      </c>
      <c r="F42" s="31">
        <v>46236.62847222222</v>
      </c>
      <c r="G42" s="31">
        <v>46236.625</v>
      </c>
      <c r="H42" s="31">
        <v>46236.62847222222</v>
      </c>
      <c r="I42" s="26" t="s">
        <v>1154</v>
      </c>
      <c r="J42" s="26">
        <v>-10000.0</v>
      </c>
      <c r="K42" s="26">
        <v>0.0</v>
      </c>
      <c r="L42" s="26">
        <v>-10000.0</v>
      </c>
      <c r="M42" s="26">
        <v>9.2</v>
      </c>
      <c r="N42" s="26">
        <v>0.0</v>
      </c>
      <c r="O42" s="26">
        <v>18.9</v>
      </c>
      <c r="AF42" s="26">
        <v>18.9</v>
      </c>
      <c r="AG42" s="26">
        <v>2.8</v>
      </c>
      <c r="AH42" s="26">
        <v>2.9</v>
      </c>
    </row>
    <row r="43" ht="14.25" customHeight="1">
      <c r="A43" s="31">
        <v>46236.625</v>
      </c>
      <c r="B43" s="26" t="s">
        <v>894</v>
      </c>
      <c r="C43" s="26" t="s">
        <v>896</v>
      </c>
      <c r="D43" s="26" t="s">
        <v>102</v>
      </c>
      <c r="E43" s="26" t="s">
        <v>1159</v>
      </c>
      <c r="F43" s="31">
        <v>46236.62847222222</v>
      </c>
      <c r="G43" s="31">
        <v>46236.625</v>
      </c>
      <c r="H43" s="31">
        <v>46236.62847222222</v>
      </c>
      <c r="I43" s="26" t="s">
        <v>1154</v>
      </c>
      <c r="J43" s="26">
        <v>-10000.0</v>
      </c>
      <c r="K43" s="26">
        <v>0.0</v>
      </c>
      <c r="L43" s="26">
        <v>-10000.0</v>
      </c>
      <c r="M43" s="26">
        <v>13.9</v>
      </c>
      <c r="N43" s="26">
        <v>0.0</v>
      </c>
      <c r="O43" s="26">
        <v>18.9</v>
      </c>
      <c r="AF43" s="26">
        <v>18.9</v>
      </c>
      <c r="AG43" s="26">
        <v>2.3</v>
      </c>
      <c r="AH43" s="26">
        <v>2.1</v>
      </c>
    </row>
    <row r="44" ht="14.25" customHeight="1">
      <c r="A44" s="31">
        <v>46236.625</v>
      </c>
      <c r="B44" s="26" t="s">
        <v>894</v>
      </c>
      <c r="C44" s="26" t="s">
        <v>896</v>
      </c>
      <c r="D44" s="26" t="s">
        <v>102</v>
      </c>
      <c r="E44" s="26" t="s">
        <v>1160</v>
      </c>
      <c r="F44" s="31">
        <v>46236.62847222222</v>
      </c>
      <c r="G44" s="31">
        <v>46236.625</v>
      </c>
      <c r="H44" s="31">
        <v>46236.62847222222</v>
      </c>
      <c r="I44" s="26" t="s">
        <v>1115</v>
      </c>
      <c r="J44" s="26">
        <v>-10000.0</v>
      </c>
      <c r="K44" s="26">
        <v>-10.0</v>
      </c>
      <c r="L44" s="26">
        <v>-10000.0</v>
      </c>
      <c r="M44" s="26">
        <v>0.0</v>
      </c>
      <c r="N44" s="26">
        <v>32000.0</v>
      </c>
      <c r="O44" s="26">
        <v>10.0</v>
      </c>
      <c r="AF44" s="26">
        <v>10.0</v>
      </c>
      <c r="AG44" s="26">
        <v>800.0</v>
      </c>
      <c r="AH44" s="26">
        <v>800.0</v>
      </c>
    </row>
    <row r="45" ht="14.25" customHeight="1">
      <c r="A45" s="31">
        <v>46236.625</v>
      </c>
      <c r="B45" s="26" t="s">
        <v>894</v>
      </c>
      <c r="C45" s="26" t="s">
        <v>896</v>
      </c>
      <c r="D45" s="26" t="s">
        <v>315</v>
      </c>
      <c r="E45" s="26" t="s">
        <v>1161</v>
      </c>
      <c r="F45" s="31">
        <v>46236.62847222222</v>
      </c>
      <c r="G45" s="31">
        <v>46236.625</v>
      </c>
      <c r="H45" s="31">
        <v>46236.62847222222</v>
      </c>
      <c r="I45" s="26" t="s">
        <v>1162</v>
      </c>
      <c r="J45" s="26">
        <v>30980.0</v>
      </c>
      <c r="K45" s="26">
        <v>0.0</v>
      </c>
      <c r="L45" s="26">
        <v>30980.0</v>
      </c>
      <c r="M45" s="26">
        <v>4.0</v>
      </c>
      <c r="AF45" s="26">
        <v>4.0</v>
      </c>
      <c r="AG45" s="26">
        <v>0.4</v>
      </c>
      <c r="AH45" s="26">
        <v>0.4</v>
      </c>
    </row>
    <row r="46" ht="14.25" customHeight="1">
      <c r="A46" s="31">
        <v>46236.625</v>
      </c>
      <c r="B46" s="26" t="s">
        <v>894</v>
      </c>
      <c r="C46" s="26" t="s">
        <v>896</v>
      </c>
      <c r="D46" s="26" t="s">
        <v>315</v>
      </c>
      <c r="E46" s="26" t="s">
        <v>1163</v>
      </c>
      <c r="F46" s="31">
        <v>46236.62847222222</v>
      </c>
      <c r="G46" s="31">
        <v>46236.625</v>
      </c>
      <c r="H46" s="31">
        <v>46236.62847222222</v>
      </c>
      <c r="I46" s="26" t="s">
        <v>1162</v>
      </c>
      <c r="J46" s="26">
        <v>30880.0</v>
      </c>
      <c r="K46" s="26">
        <v>0.0</v>
      </c>
      <c r="L46" s="26">
        <v>30880.0</v>
      </c>
      <c r="M46" s="26">
        <v>4.0</v>
      </c>
      <c r="AF46" s="26">
        <v>4.0</v>
      </c>
      <c r="AG46" s="26">
        <v>0.4</v>
      </c>
      <c r="AH46" s="26">
        <v>0.4</v>
      </c>
    </row>
    <row r="47" ht="14.25" customHeight="1">
      <c r="A47" s="31">
        <v>46236.625</v>
      </c>
      <c r="B47" s="26" t="s">
        <v>894</v>
      </c>
      <c r="C47" s="26" t="s">
        <v>896</v>
      </c>
      <c r="D47" s="26" t="s">
        <v>315</v>
      </c>
      <c r="E47" s="26" t="s">
        <v>1164</v>
      </c>
      <c r="F47" s="31">
        <v>46236.62847222222</v>
      </c>
      <c r="G47" s="31">
        <v>46236.625</v>
      </c>
      <c r="H47" s="31">
        <v>46236.62847222222</v>
      </c>
      <c r="I47" s="26" t="s">
        <v>1162</v>
      </c>
      <c r="J47" s="26">
        <v>30780.0</v>
      </c>
      <c r="K47" s="26">
        <v>0.0</v>
      </c>
      <c r="L47" s="26">
        <v>30780.0</v>
      </c>
      <c r="M47" s="26">
        <v>4.2</v>
      </c>
      <c r="AF47" s="26">
        <v>4.2</v>
      </c>
      <c r="AG47" s="26">
        <v>0.4</v>
      </c>
      <c r="AH47" s="26">
        <v>0.4</v>
      </c>
    </row>
    <row r="48" ht="14.25" customHeight="1">
      <c r="A48" s="31">
        <v>46236.625</v>
      </c>
      <c r="B48" s="26" t="s">
        <v>894</v>
      </c>
      <c r="C48" s="26" t="s">
        <v>896</v>
      </c>
      <c r="D48" s="26" t="s">
        <v>315</v>
      </c>
      <c r="E48" s="26" t="s">
        <v>1165</v>
      </c>
      <c r="F48" s="31">
        <v>46236.62847222222</v>
      </c>
      <c r="G48" s="31">
        <v>46236.625</v>
      </c>
      <c r="H48" s="31">
        <v>46236.62847222222</v>
      </c>
      <c r="I48" s="26" t="s">
        <v>1162</v>
      </c>
      <c r="J48" s="26">
        <v>30680.0</v>
      </c>
      <c r="K48" s="26">
        <v>0.0</v>
      </c>
      <c r="L48" s="26">
        <v>30680.0</v>
      </c>
      <c r="M48" s="26">
        <v>4.0</v>
      </c>
      <c r="AF48" s="26">
        <v>4.0</v>
      </c>
      <c r="AG48" s="26">
        <v>0.4</v>
      </c>
      <c r="AH48" s="26">
        <v>0.4</v>
      </c>
    </row>
    <row r="49" ht="14.25" customHeight="1">
      <c r="A49" s="31">
        <v>46236.625</v>
      </c>
      <c r="B49" s="26" t="s">
        <v>894</v>
      </c>
      <c r="C49" s="26" t="s">
        <v>896</v>
      </c>
      <c r="D49" s="26" t="s">
        <v>315</v>
      </c>
      <c r="E49" s="26" t="s">
        <v>1166</v>
      </c>
      <c r="F49" s="31">
        <v>46236.62847222222</v>
      </c>
      <c r="G49" s="31">
        <v>46236.625</v>
      </c>
      <c r="H49" s="31">
        <v>46236.62847222222</v>
      </c>
      <c r="I49" s="26" t="s">
        <v>1167</v>
      </c>
      <c r="J49" s="26">
        <v>32000.0</v>
      </c>
      <c r="K49" s="26">
        <v>0.0</v>
      </c>
      <c r="L49" s="26">
        <v>32000.0</v>
      </c>
      <c r="M49" s="26">
        <v>54.0</v>
      </c>
      <c r="AF49" s="26">
        <v>54.0</v>
      </c>
      <c r="AG49" s="26">
        <v>0.6</v>
      </c>
      <c r="AH49" s="26">
        <v>0.6</v>
      </c>
    </row>
    <row r="50" ht="14.25" customHeight="1">
      <c r="A50" s="31">
        <v>46236.625</v>
      </c>
      <c r="B50" s="26" t="s">
        <v>894</v>
      </c>
      <c r="C50" s="26" t="s">
        <v>896</v>
      </c>
      <c r="D50" s="26" t="s">
        <v>315</v>
      </c>
      <c r="E50" s="26" t="s">
        <v>1168</v>
      </c>
      <c r="F50" s="31">
        <v>46236.62847222222</v>
      </c>
      <c r="G50" s="31">
        <v>46236.625</v>
      </c>
      <c r="H50" s="31">
        <v>46236.62847222222</v>
      </c>
      <c r="I50" s="26" t="s">
        <v>1169</v>
      </c>
      <c r="J50" s="26">
        <v>30700.0</v>
      </c>
      <c r="K50" s="26">
        <v>0.0</v>
      </c>
      <c r="L50" s="26">
        <v>30700.0</v>
      </c>
      <c r="M50" s="26">
        <v>7.0</v>
      </c>
      <c r="AF50" s="26">
        <v>7.0</v>
      </c>
      <c r="AG50" s="26">
        <v>0.5</v>
      </c>
      <c r="AH50" s="26">
        <v>0.5</v>
      </c>
    </row>
    <row r="51" ht="14.25" customHeight="1">
      <c r="A51" s="31">
        <v>46236.625</v>
      </c>
      <c r="B51" s="26" t="s">
        <v>894</v>
      </c>
      <c r="C51" s="26" t="s">
        <v>896</v>
      </c>
      <c r="D51" s="26" t="s">
        <v>315</v>
      </c>
      <c r="E51" s="26" t="s">
        <v>1170</v>
      </c>
      <c r="F51" s="31">
        <v>46236.62847222222</v>
      </c>
      <c r="G51" s="31">
        <v>46236.625</v>
      </c>
      <c r="H51" s="31">
        <v>46236.62847222222</v>
      </c>
      <c r="I51" s="26" t="s">
        <v>1169</v>
      </c>
      <c r="J51" s="26">
        <v>30800.0</v>
      </c>
      <c r="K51" s="26">
        <v>0.0</v>
      </c>
      <c r="L51" s="26">
        <v>30800.0</v>
      </c>
      <c r="M51" s="26">
        <v>7.0</v>
      </c>
      <c r="AF51" s="26">
        <v>7.0</v>
      </c>
      <c r="AG51" s="26">
        <v>0.5</v>
      </c>
      <c r="AH51" s="26">
        <v>0.5</v>
      </c>
    </row>
    <row r="52" ht="14.25" customHeight="1">
      <c r="A52" s="31">
        <v>46236.625</v>
      </c>
      <c r="B52" s="26" t="s">
        <v>894</v>
      </c>
      <c r="C52" s="26" t="s">
        <v>896</v>
      </c>
      <c r="D52" s="26" t="s">
        <v>315</v>
      </c>
      <c r="E52" s="26" t="s">
        <v>1171</v>
      </c>
      <c r="F52" s="31">
        <v>46236.62847222222</v>
      </c>
      <c r="G52" s="31">
        <v>46236.625</v>
      </c>
      <c r="H52" s="31">
        <v>46236.62847222222</v>
      </c>
      <c r="I52" s="26" t="s">
        <v>1169</v>
      </c>
      <c r="J52" s="26">
        <v>30900.0</v>
      </c>
      <c r="K52" s="26">
        <v>0.0</v>
      </c>
      <c r="L52" s="26">
        <v>30900.0</v>
      </c>
      <c r="M52" s="26">
        <v>7.0</v>
      </c>
      <c r="AF52" s="26">
        <v>7.0</v>
      </c>
      <c r="AG52" s="26">
        <v>0.5</v>
      </c>
      <c r="AH52" s="26">
        <v>0.5</v>
      </c>
    </row>
    <row r="53" ht="14.25" customHeight="1">
      <c r="A53" s="31">
        <v>46236.625</v>
      </c>
      <c r="B53" s="26" t="s">
        <v>894</v>
      </c>
      <c r="C53" s="26" t="s">
        <v>896</v>
      </c>
      <c r="D53" s="26" t="s">
        <v>315</v>
      </c>
      <c r="E53" s="26" t="s">
        <v>1172</v>
      </c>
      <c r="F53" s="31">
        <v>46236.62847222222</v>
      </c>
      <c r="G53" s="31">
        <v>46236.625</v>
      </c>
      <c r="H53" s="31">
        <v>46236.62847222222</v>
      </c>
      <c r="I53" s="26" t="s">
        <v>1169</v>
      </c>
      <c r="J53" s="26">
        <v>31000.0</v>
      </c>
      <c r="K53" s="26">
        <v>0.0</v>
      </c>
      <c r="L53" s="26">
        <v>31000.0</v>
      </c>
      <c r="M53" s="26">
        <v>8.0</v>
      </c>
      <c r="AF53" s="26">
        <v>8.0</v>
      </c>
      <c r="AG53" s="26">
        <v>0.7</v>
      </c>
      <c r="AH53" s="26">
        <v>0.6</v>
      </c>
    </row>
    <row r="54" ht="14.25" customHeight="1">
      <c r="A54" s="31">
        <v>46236.625</v>
      </c>
      <c r="B54" s="26" t="s">
        <v>894</v>
      </c>
      <c r="C54" s="26" t="s">
        <v>896</v>
      </c>
      <c r="D54" s="26" t="s">
        <v>315</v>
      </c>
      <c r="E54" s="26" t="s">
        <v>1173</v>
      </c>
      <c r="F54" s="31">
        <v>46236.62847222222</v>
      </c>
      <c r="G54" s="31">
        <v>46236.625</v>
      </c>
      <c r="H54" s="31">
        <v>46236.62847222222</v>
      </c>
      <c r="I54" s="26" t="s">
        <v>1113</v>
      </c>
      <c r="J54" s="26">
        <v>32000.0</v>
      </c>
      <c r="K54" s="26">
        <v>0.0</v>
      </c>
      <c r="L54" s="26">
        <v>32000.0</v>
      </c>
      <c r="M54" s="26">
        <v>17.8</v>
      </c>
      <c r="AF54" s="26">
        <v>20.0</v>
      </c>
      <c r="AG54" s="26">
        <v>2300.4</v>
      </c>
      <c r="AH54" s="26">
        <v>2300.4</v>
      </c>
    </row>
    <row r="55" ht="14.25" customHeight="1">
      <c r="A55" s="31">
        <v>46236.625</v>
      </c>
      <c r="B55" s="26" t="s">
        <v>894</v>
      </c>
      <c r="C55" s="26" t="s">
        <v>896</v>
      </c>
      <c r="D55" s="26" t="s">
        <v>13</v>
      </c>
      <c r="E55" s="26" t="s">
        <v>1174</v>
      </c>
      <c r="F55" s="31">
        <v>46236.62847222222</v>
      </c>
      <c r="G55" s="31">
        <v>46236.625</v>
      </c>
      <c r="H55" s="31">
        <v>46236.62847222222</v>
      </c>
      <c r="I55" s="26" t="s">
        <v>1175</v>
      </c>
      <c r="J55" s="26">
        <v>32000.0</v>
      </c>
      <c r="K55" s="26">
        <v>0.0</v>
      </c>
      <c r="L55" s="26">
        <v>32000.0</v>
      </c>
      <c r="M55" s="26">
        <v>3.0</v>
      </c>
      <c r="AF55" s="26">
        <v>3.0</v>
      </c>
      <c r="AG55" s="26">
        <v>0.6</v>
      </c>
      <c r="AH55" s="26">
        <v>0.6</v>
      </c>
    </row>
    <row r="56" ht="14.25" customHeight="1">
      <c r="A56" s="31">
        <v>46236.625</v>
      </c>
      <c r="B56" s="26" t="s">
        <v>894</v>
      </c>
      <c r="C56" s="26" t="s">
        <v>896</v>
      </c>
      <c r="D56" s="26" t="s">
        <v>13</v>
      </c>
      <c r="E56" s="26" t="s">
        <v>1176</v>
      </c>
      <c r="F56" s="31">
        <v>46236.62847222222</v>
      </c>
      <c r="G56" s="31">
        <v>46236.625</v>
      </c>
      <c r="H56" s="31">
        <v>46236.62847222222</v>
      </c>
      <c r="I56" s="26" t="s">
        <v>1175</v>
      </c>
      <c r="J56" s="26">
        <v>32000.0</v>
      </c>
      <c r="K56" s="26">
        <v>0.0</v>
      </c>
      <c r="L56" s="26">
        <v>32000.0</v>
      </c>
      <c r="M56" s="26">
        <v>3.4</v>
      </c>
      <c r="AF56" s="26">
        <v>3.4</v>
      </c>
      <c r="AG56" s="26">
        <v>0.6</v>
      </c>
      <c r="AH56" s="26">
        <v>0.6</v>
      </c>
    </row>
    <row r="57" ht="14.25" customHeight="1">
      <c r="A57" s="31">
        <v>46236.625</v>
      </c>
      <c r="B57" s="26" t="s">
        <v>894</v>
      </c>
      <c r="C57" s="26" t="s">
        <v>896</v>
      </c>
      <c r="D57" s="26" t="s">
        <v>13</v>
      </c>
      <c r="E57" s="26" t="s">
        <v>1179</v>
      </c>
      <c r="F57" s="31">
        <v>46236.62847222222</v>
      </c>
      <c r="G57" s="31">
        <v>46236.625</v>
      </c>
      <c r="H57" s="31">
        <v>46236.62847222222</v>
      </c>
      <c r="I57" s="26" t="s">
        <v>1162</v>
      </c>
      <c r="J57" s="26">
        <v>30998.0</v>
      </c>
      <c r="K57" s="26">
        <v>0.0</v>
      </c>
      <c r="L57" s="26">
        <v>30998.0</v>
      </c>
      <c r="M57" s="26">
        <v>5.0</v>
      </c>
      <c r="AF57" s="26">
        <v>3.0</v>
      </c>
      <c r="AG57" s="26">
        <v>0.4</v>
      </c>
      <c r="AH57" s="26">
        <v>0.4</v>
      </c>
      <c r="AI57" s="26">
        <v>5.0</v>
      </c>
      <c r="AJ57" s="26">
        <v>0.5</v>
      </c>
      <c r="AK57" s="26">
        <v>0.7</v>
      </c>
    </row>
    <row r="58" ht="14.25" customHeight="1">
      <c r="A58" s="31">
        <v>46236.625</v>
      </c>
      <c r="B58" s="26" t="s">
        <v>894</v>
      </c>
      <c r="C58" s="26" t="s">
        <v>896</v>
      </c>
      <c r="D58" s="26" t="s">
        <v>13</v>
      </c>
      <c r="E58" s="26" t="s">
        <v>1180</v>
      </c>
      <c r="F58" s="31">
        <v>46236.62847222222</v>
      </c>
      <c r="G58" s="31">
        <v>46236.625</v>
      </c>
      <c r="H58" s="31">
        <v>46236.62847222222</v>
      </c>
      <c r="I58" s="26" t="s">
        <v>1162</v>
      </c>
      <c r="J58" s="26">
        <v>30999.0</v>
      </c>
      <c r="K58" s="26">
        <v>0.0</v>
      </c>
      <c r="L58" s="26">
        <v>30999.0</v>
      </c>
      <c r="M58" s="26">
        <v>5.0</v>
      </c>
      <c r="AF58" s="26">
        <v>3.0</v>
      </c>
      <c r="AG58" s="26">
        <v>0.3</v>
      </c>
      <c r="AH58" s="26">
        <v>0.4</v>
      </c>
      <c r="AI58" s="26">
        <v>5.0</v>
      </c>
      <c r="AJ58" s="26">
        <v>0.5</v>
      </c>
      <c r="AK58" s="26">
        <v>1.2</v>
      </c>
    </row>
    <row r="59" ht="14.25" customHeight="1">
      <c r="A59" s="31">
        <v>46236.625</v>
      </c>
      <c r="B59" s="26" t="s">
        <v>894</v>
      </c>
      <c r="C59" s="26" t="s">
        <v>896</v>
      </c>
      <c r="D59" s="26" t="s">
        <v>13</v>
      </c>
      <c r="E59" s="26" t="s">
        <v>1181</v>
      </c>
      <c r="F59" s="31">
        <v>46236.62847222222</v>
      </c>
      <c r="G59" s="31">
        <v>46236.625</v>
      </c>
      <c r="H59" s="31">
        <v>46236.62847222222</v>
      </c>
      <c r="I59" s="26" t="s">
        <v>1162</v>
      </c>
      <c r="J59" s="26">
        <v>32000.0</v>
      </c>
      <c r="K59" s="26">
        <v>0.0</v>
      </c>
      <c r="L59" s="26">
        <v>32000.0</v>
      </c>
      <c r="M59" s="26">
        <v>12.0</v>
      </c>
      <c r="AF59" s="26">
        <v>5.3</v>
      </c>
      <c r="AG59" s="26">
        <v>0.4</v>
      </c>
      <c r="AH59" s="26">
        <v>0.4</v>
      </c>
      <c r="AI59" s="26">
        <v>12.0</v>
      </c>
      <c r="AJ59" s="26">
        <v>1.3</v>
      </c>
      <c r="AK59" s="26">
        <v>1.3</v>
      </c>
    </row>
    <row r="60" ht="14.25" customHeight="1">
      <c r="A60" s="31">
        <v>46236.625</v>
      </c>
      <c r="B60" s="26" t="s">
        <v>894</v>
      </c>
      <c r="C60" s="26" t="s">
        <v>896</v>
      </c>
      <c r="D60" s="26" t="s">
        <v>13</v>
      </c>
      <c r="E60" s="26" t="s">
        <v>1182</v>
      </c>
      <c r="F60" s="31">
        <v>46236.62847222222</v>
      </c>
      <c r="G60" s="31">
        <v>46236.625</v>
      </c>
      <c r="H60" s="31">
        <v>46236.62847222222</v>
      </c>
      <c r="I60" s="26" t="s">
        <v>1162</v>
      </c>
      <c r="J60" s="26">
        <v>29979.0</v>
      </c>
      <c r="K60" s="26">
        <v>0.0</v>
      </c>
      <c r="L60" s="26">
        <v>29979.0</v>
      </c>
      <c r="M60" s="26">
        <v>12.0</v>
      </c>
      <c r="AF60" s="26">
        <v>5.2</v>
      </c>
      <c r="AG60" s="26">
        <v>0.4</v>
      </c>
      <c r="AH60" s="26">
        <v>0.4</v>
      </c>
      <c r="AI60" s="26">
        <v>12.0</v>
      </c>
      <c r="AJ60" s="26">
        <v>1.1</v>
      </c>
      <c r="AK60" s="26">
        <v>1.3</v>
      </c>
    </row>
    <row r="61" ht="14.25" customHeight="1">
      <c r="A61" s="31">
        <v>46236.625</v>
      </c>
      <c r="B61" s="26" t="s">
        <v>894</v>
      </c>
      <c r="C61" s="26" t="s">
        <v>896</v>
      </c>
      <c r="D61" s="26" t="s">
        <v>13</v>
      </c>
      <c r="E61" s="26" t="s">
        <v>1183</v>
      </c>
      <c r="F61" s="31">
        <v>46236.62847222222</v>
      </c>
      <c r="G61" s="31">
        <v>46236.625</v>
      </c>
      <c r="H61" s="31">
        <v>46236.62847222222</v>
      </c>
      <c r="I61" s="26" t="s">
        <v>1162</v>
      </c>
      <c r="J61" s="26">
        <v>29989.0</v>
      </c>
      <c r="K61" s="26">
        <v>0.0</v>
      </c>
      <c r="L61" s="26">
        <v>29989.0</v>
      </c>
      <c r="M61" s="26">
        <v>13.0</v>
      </c>
      <c r="AF61" s="26">
        <v>5.3</v>
      </c>
      <c r="AG61" s="26">
        <v>0.4</v>
      </c>
      <c r="AH61" s="26">
        <v>0.4</v>
      </c>
      <c r="AI61" s="26">
        <v>13.0</v>
      </c>
      <c r="AJ61" s="26">
        <v>1.1</v>
      </c>
      <c r="AK61" s="26">
        <v>1.5</v>
      </c>
    </row>
    <row r="62" ht="14.25" customHeight="1">
      <c r="A62" s="31">
        <v>46236.625</v>
      </c>
      <c r="B62" s="26" t="s">
        <v>894</v>
      </c>
      <c r="C62" s="26" t="s">
        <v>896</v>
      </c>
      <c r="D62" s="26" t="s">
        <v>13</v>
      </c>
      <c r="E62" s="26" t="s">
        <v>1184</v>
      </c>
      <c r="F62" s="31">
        <v>46236.62847222222</v>
      </c>
      <c r="G62" s="31">
        <v>46236.625</v>
      </c>
      <c r="H62" s="31">
        <v>46236.62847222222</v>
      </c>
      <c r="I62" s="26" t="s">
        <v>1162</v>
      </c>
      <c r="J62" s="26">
        <v>30089.0</v>
      </c>
      <c r="K62" s="26">
        <v>0.0</v>
      </c>
      <c r="L62" s="26">
        <v>30089.0</v>
      </c>
      <c r="M62" s="26">
        <v>13.0</v>
      </c>
      <c r="AF62" s="26">
        <v>5.2</v>
      </c>
      <c r="AG62" s="26">
        <v>0.4</v>
      </c>
      <c r="AH62" s="26">
        <v>0.4</v>
      </c>
      <c r="AI62" s="26">
        <v>13.0</v>
      </c>
      <c r="AJ62" s="26">
        <v>1.1</v>
      </c>
      <c r="AK62" s="26">
        <v>1.5</v>
      </c>
    </row>
    <row r="63" ht="14.25" customHeight="1">
      <c r="A63" s="31">
        <v>46236.625</v>
      </c>
      <c r="B63" s="26" t="s">
        <v>894</v>
      </c>
      <c r="C63" s="26" t="s">
        <v>896</v>
      </c>
      <c r="D63" s="26" t="s">
        <v>13</v>
      </c>
      <c r="E63" s="26" t="s">
        <v>1185</v>
      </c>
      <c r="F63" s="31">
        <v>46236.62847222222</v>
      </c>
      <c r="G63" s="31">
        <v>46236.625</v>
      </c>
      <c r="H63" s="31">
        <v>46236.62847222222</v>
      </c>
      <c r="I63" s="26" t="s">
        <v>1186</v>
      </c>
      <c r="J63" s="26">
        <v>-10000.0</v>
      </c>
      <c r="K63" s="26">
        <v>0.0</v>
      </c>
      <c r="L63" s="26">
        <v>-10000.0</v>
      </c>
      <c r="M63" s="26">
        <v>42.0</v>
      </c>
      <c r="N63" s="26">
        <v>3300.0</v>
      </c>
      <c r="O63" s="26">
        <v>83.7</v>
      </c>
      <c r="AF63" s="26">
        <v>42.0</v>
      </c>
      <c r="AG63" s="26">
        <v>1.5</v>
      </c>
      <c r="AH63" s="26">
        <v>1.4</v>
      </c>
      <c r="AI63" s="26">
        <v>83.7</v>
      </c>
      <c r="AJ63" s="26">
        <v>1.5</v>
      </c>
      <c r="AK63" s="26">
        <v>1.4</v>
      </c>
    </row>
    <row r="64" ht="14.25" customHeight="1">
      <c r="A64" s="31">
        <v>46236.625</v>
      </c>
      <c r="B64" s="26" t="s">
        <v>894</v>
      </c>
      <c r="C64" s="26" t="s">
        <v>896</v>
      </c>
      <c r="D64" s="26" t="s">
        <v>13</v>
      </c>
      <c r="E64" s="26" t="s">
        <v>1187</v>
      </c>
      <c r="F64" s="31">
        <v>46236.62847222222</v>
      </c>
      <c r="G64" s="31">
        <v>46236.625</v>
      </c>
      <c r="H64" s="31">
        <v>46236.62847222222</v>
      </c>
      <c r="I64" s="26" t="s">
        <v>1186</v>
      </c>
      <c r="J64" s="26">
        <v>-10000.0</v>
      </c>
      <c r="K64" s="26">
        <v>0.0</v>
      </c>
      <c r="L64" s="26">
        <v>-10000.0</v>
      </c>
      <c r="M64" s="26">
        <v>42.0</v>
      </c>
      <c r="N64" s="26">
        <v>3300.0</v>
      </c>
      <c r="O64" s="26">
        <v>83.7</v>
      </c>
      <c r="AF64" s="26">
        <v>42.0</v>
      </c>
      <c r="AG64" s="26">
        <v>1.3</v>
      </c>
      <c r="AH64" s="26">
        <v>1.5</v>
      </c>
      <c r="AI64" s="26">
        <v>83.7</v>
      </c>
      <c r="AJ64" s="26">
        <v>1.3</v>
      </c>
      <c r="AK64" s="26">
        <v>1.5</v>
      </c>
    </row>
    <row r="65" ht="14.25" customHeight="1">
      <c r="A65" s="31">
        <v>46236.625</v>
      </c>
      <c r="B65" s="26" t="s">
        <v>894</v>
      </c>
      <c r="C65" s="26" t="s">
        <v>896</v>
      </c>
      <c r="D65" s="26" t="s">
        <v>13</v>
      </c>
      <c r="E65" s="26" t="s">
        <v>1188</v>
      </c>
      <c r="F65" s="31">
        <v>46236.62847222222</v>
      </c>
      <c r="G65" s="31">
        <v>46236.625</v>
      </c>
      <c r="H65" s="31">
        <v>46236.62847222222</v>
      </c>
      <c r="I65" s="26" t="s">
        <v>1186</v>
      </c>
      <c r="J65" s="26">
        <v>-10000.0</v>
      </c>
      <c r="K65" s="26">
        <v>0.0</v>
      </c>
      <c r="L65" s="26">
        <v>-10000.0</v>
      </c>
      <c r="M65" s="26">
        <v>70.0</v>
      </c>
      <c r="N65" s="26">
        <v>2960.0</v>
      </c>
      <c r="O65" s="26">
        <v>138.5</v>
      </c>
      <c r="P65" s="26">
        <v>7440.0</v>
      </c>
      <c r="Q65" s="26">
        <v>150.0</v>
      </c>
      <c r="AF65" s="26">
        <v>70.0</v>
      </c>
      <c r="AG65" s="26">
        <v>2.3</v>
      </c>
      <c r="AH65" s="26">
        <v>2.7</v>
      </c>
      <c r="AI65" s="26">
        <v>150.0</v>
      </c>
      <c r="AJ65" s="26">
        <v>2.3</v>
      </c>
      <c r="AK65" s="26">
        <v>2.7</v>
      </c>
    </row>
    <row r="66" ht="14.25" customHeight="1">
      <c r="A66" s="31">
        <v>46236.625</v>
      </c>
      <c r="B66" s="26" t="s">
        <v>894</v>
      </c>
      <c r="C66" s="26" t="s">
        <v>896</v>
      </c>
      <c r="D66" s="26" t="s">
        <v>13</v>
      </c>
      <c r="E66" s="26" t="s">
        <v>1189</v>
      </c>
      <c r="F66" s="31">
        <v>46236.62847222222</v>
      </c>
      <c r="G66" s="31">
        <v>46236.625</v>
      </c>
      <c r="H66" s="31">
        <v>46236.62847222222</v>
      </c>
      <c r="I66" s="26" t="s">
        <v>1190</v>
      </c>
      <c r="J66" s="26">
        <v>14720.1</v>
      </c>
      <c r="K66" s="26">
        <v>0.0</v>
      </c>
      <c r="L66" s="26">
        <v>14720.1</v>
      </c>
      <c r="M66" s="26">
        <v>6.0</v>
      </c>
      <c r="AF66" s="26">
        <v>1.0</v>
      </c>
      <c r="AG66" s="26">
        <v>0.1</v>
      </c>
      <c r="AH66" s="26">
        <v>0.1</v>
      </c>
      <c r="AI66" s="26">
        <v>6.0</v>
      </c>
      <c r="AJ66" s="26">
        <v>0.3</v>
      </c>
      <c r="AK66" s="26">
        <v>0.3</v>
      </c>
    </row>
    <row r="67" ht="14.25" customHeight="1">
      <c r="A67" s="31">
        <v>46236.625</v>
      </c>
      <c r="B67" s="26" t="s">
        <v>894</v>
      </c>
      <c r="C67" s="26" t="s">
        <v>896</v>
      </c>
      <c r="D67" s="26" t="s">
        <v>13</v>
      </c>
      <c r="E67" s="26" t="s">
        <v>1191</v>
      </c>
      <c r="F67" s="31">
        <v>46236.62847222222</v>
      </c>
      <c r="G67" s="31">
        <v>46236.625</v>
      </c>
      <c r="H67" s="31">
        <v>46236.62847222222</v>
      </c>
      <c r="I67" s="26" t="s">
        <v>1190</v>
      </c>
      <c r="J67" s="26">
        <v>14720.1</v>
      </c>
      <c r="K67" s="26">
        <v>0.0</v>
      </c>
      <c r="L67" s="26">
        <v>14720.1</v>
      </c>
      <c r="M67" s="26">
        <v>6.0</v>
      </c>
      <c r="AF67" s="26">
        <v>1.0</v>
      </c>
      <c r="AG67" s="26">
        <v>0.1</v>
      </c>
      <c r="AH67" s="26">
        <v>0.4</v>
      </c>
      <c r="AI67" s="26">
        <v>6.0</v>
      </c>
      <c r="AJ67" s="26">
        <v>0.3</v>
      </c>
      <c r="AK67" s="26">
        <v>0.4</v>
      </c>
    </row>
    <row r="68" ht="14.25" customHeight="1">
      <c r="A68" s="31">
        <v>46236.625</v>
      </c>
      <c r="B68" s="26" t="s">
        <v>894</v>
      </c>
      <c r="C68" s="26" t="s">
        <v>896</v>
      </c>
      <c r="D68" s="26" t="s">
        <v>13</v>
      </c>
      <c r="E68" s="26" t="s">
        <v>1192</v>
      </c>
      <c r="F68" s="31">
        <v>46236.62847222222</v>
      </c>
      <c r="G68" s="31">
        <v>46236.625</v>
      </c>
      <c r="H68" s="31">
        <v>46236.62847222222</v>
      </c>
      <c r="I68" s="26" t="s">
        <v>1190</v>
      </c>
      <c r="J68" s="26">
        <v>14720.1</v>
      </c>
      <c r="K68" s="26">
        <v>0.0</v>
      </c>
      <c r="L68" s="26">
        <v>14720.1</v>
      </c>
      <c r="M68" s="26">
        <v>6.0</v>
      </c>
      <c r="AF68" s="26">
        <v>1.0</v>
      </c>
      <c r="AG68" s="26">
        <v>0.1</v>
      </c>
      <c r="AH68" s="26">
        <v>0.3</v>
      </c>
      <c r="AI68" s="26">
        <v>6.0</v>
      </c>
      <c r="AJ68" s="26">
        <v>0.2</v>
      </c>
      <c r="AK68" s="26">
        <v>0.3</v>
      </c>
    </row>
    <row r="69" ht="14.25" customHeight="1">
      <c r="A69" s="31">
        <v>46236.625</v>
      </c>
      <c r="B69" s="26" t="s">
        <v>894</v>
      </c>
      <c r="C69" s="26" t="s">
        <v>896</v>
      </c>
      <c r="D69" s="26" t="s">
        <v>13</v>
      </c>
      <c r="E69" s="26" t="s">
        <v>1193</v>
      </c>
      <c r="F69" s="31">
        <v>46236.62847222222</v>
      </c>
      <c r="G69" s="31">
        <v>46236.625</v>
      </c>
      <c r="H69" s="31">
        <v>46236.62847222222</v>
      </c>
      <c r="I69" s="26" t="s">
        <v>1190</v>
      </c>
      <c r="J69" s="26">
        <v>32000.0</v>
      </c>
      <c r="K69" s="26">
        <v>0.0</v>
      </c>
      <c r="L69" s="26">
        <v>32000.0</v>
      </c>
      <c r="M69" s="26">
        <v>6.0</v>
      </c>
      <c r="AF69" s="26">
        <v>1.0</v>
      </c>
      <c r="AG69" s="26">
        <v>0.1</v>
      </c>
      <c r="AH69" s="26">
        <v>0.4</v>
      </c>
      <c r="AI69" s="26">
        <v>6.0</v>
      </c>
      <c r="AJ69" s="26">
        <v>0.3</v>
      </c>
      <c r="AK69" s="26">
        <v>0.4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